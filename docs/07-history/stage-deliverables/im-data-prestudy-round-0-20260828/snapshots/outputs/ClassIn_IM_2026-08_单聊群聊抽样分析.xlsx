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2b0afc53f54c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执行摘要" sheetId="1" r:id="Rda2b7dd2b22b43f5"/>
    <x:sheet xmlns:r="http://schemas.openxmlformats.org/officeDocument/2006/relationships" name="单聊分析" sheetId="2" r:id="R5fe76cb2ee314cf7"/>
    <x:sheet xmlns:r="http://schemas.openxmlformats.org/officeDocument/2006/relationships" name="群聊分析" sheetId="3" r:id="R5d27153ae18340ec"/>
    <x:sheet xmlns:r="http://schemas.openxmlformats.org/officeDocument/2006/relationships" name="话题机会" sheetId="4" r:id="R0f56f06457ec4cce"/>
    <x:sheet xmlns:r="http://schemas.openxmlformats.org/officeDocument/2006/relationships" name="方法与限制" sheetId="5" r:id="R0317f7d3d5254c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"/>
  </x:numFmts>
  <x:fonts count="10">
    <x:font>
      <x:sz val="11"/>
      <x:name val="Carlito"/>
    </x:font>
    <x:font>
      <x:sz val="10"/>
      <x:color rgb="FF17211B"/>
      <x:name val="Arial"/>
    </x:font>
    <x:font>
      <x:b/>
      <x:sz val="18"/>
      <x:color rgb="FFFFFFFF"/>
      <x:name val="Arial"/>
    </x:font>
    <x:font>
      <x:i/>
      <x:sz val="10"/>
      <x:color rgb="FF087A4B"/>
      <x:name val="Arial"/>
    </x:font>
    <x:font>
      <x:b/>
      <x:sz val="9"/>
      <x:color rgb="FF5E6B63"/>
      <x:name val="Arial"/>
    </x:font>
    <x:font>
      <x:b/>
      <x:sz val="17"/>
      <x:color rgb="FF17211B"/>
      <x:name val="Arial"/>
    </x:font>
    <x:font>
      <x:b/>
      <x:sz val="11"/>
      <x:color rgb="FF087A4B"/>
      <x:name val="Arial"/>
    </x:font>
    <x:font>
      <x:b/>
      <x:sz val="10"/>
      <x:color rgb="FFFFFFFF"/>
      <x:name val="Arial"/>
    </x:font>
    <x:font>
      <x:b/>
      <x:sz val="10"/>
      <x:color rgb="FF17211B"/>
      <x:name val="Arial"/>
    </x:font>
    <x:font>
      <x:b/>
      <x:sz val="10"/>
      <x:color rgb="FF087A4B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211B"/>
      </x:patternFill>
    </x:fill>
    <x:fill>
      <x:patternFill patternType="solid">
        <x:fgColor rgb="FFE9F8F1"/>
      </x:patternFill>
    </x:fill>
    <x:fill>
      <x:patternFill patternType="solid">
        <x:fgColor rgb="FFEFF6FF"/>
      </x:patternFill>
    </x:fill>
    <x:fill>
      <x:patternFill patternType="solid">
        <x:fgColor rgb="FFFFF7E8"/>
      </x:patternFill>
    </x:fill>
    <x:fill>
      <x:patternFill patternType="solid">
        <x:fgColor rgb="FFF5F7F6"/>
      </x:patternFill>
    </x:fill>
  </x:fills>
  <x:borders count="18">
    <x:border/>
    <x:border>
      <x:left style="thin">
        <x:color rgb="FFD9E2DC"/>
      </x:left>
      <x:top style="thin">
        <x:color rgb="FFD9E2DC"/>
      </x:top>
    </x:border>
    <x:border>
      <x:right style="thin">
        <x:color rgb="FFD9E2DC"/>
      </x:right>
      <x:top style="thin">
        <x:color rgb="FFD9E2DC"/>
      </x:top>
    </x:border>
    <x:border>
      <x:left style="thin">
        <x:color rgb="FFD9E2DC"/>
      </x:left>
    </x:border>
    <x:border>
      <x:right style="thin">
        <x:color rgb="FFD9E2DC"/>
      </x:right>
    </x:border>
    <x:border>
      <x:left style="thin">
        <x:color rgb="FFD9E2DC"/>
      </x:left>
      <x:bottom style="thin">
        <x:color rgb="FFD9E2DC"/>
      </x:bottom>
    </x:border>
    <x:border>
      <x:right style="thin">
        <x:color rgb="FFD9E2DC"/>
      </x:right>
      <x:bottom style="thin">
        <x:color rgb="FFD9E2DC"/>
      </x:bottom>
    </x:border>
    <x:border>
      <x:bottom style="thin">
        <x:color rgb="FF0AAE68"/>
      </x:bottom>
    </x:border>
    <x:border>
      <x:left style="thin">
        <x:color rgb="FFD97706"/>
      </x:left>
      <x:top style="thin">
        <x:color rgb="FFD97706"/>
      </x:top>
    </x:border>
    <x:border>
      <x:top style="thin">
        <x:color rgb="FFD97706"/>
      </x:top>
    </x:border>
    <x:border>
      <x:right style="thin">
        <x:color rgb="FFD97706"/>
      </x:right>
      <x:top style="thin">
        <x:color rgb="FFD97706"/>
      </x:top>
    </x:border>
    <x:border>
      <x:left style="thin">
        <x:color rgb="FFD97706"/>
      </x:left>
    </x:border>
    <x:border>
      <x:right style="thin">
        <x:color rgb="FFD97706"/>
      </x:right>
    </x:border>
    <x:border>
      <x:left style="thin">
        <x:color rgb="FFD97706"/>
      </x:left>
      <x:bottom style="thin">
        <x:color rgb="FFD97706"/>
      </x:bottom>
    </x:border>
    <x:border>
      <x:bottom style="thin">
        <x:color rgb="FFD97706"/>
      </x:bottom>
    </x:border>
    <x:border>
      <x:right style="thin">
        <x:color rgb="FFD97706"/>
      </x:right>
      <x:bottom style="thin">
        <x:color rgb="FFD97706"/>
      </x:bottom>
    </x:border>
    <x:border>
      <x:bottom style="thin">
        <x:color rgb="FFD9E2DC"/>
      </x:bottom>
    </x:border>
    <x:border>
      <x:top style="thin">
        <x:color rgb="FFD9E2DC"/>
      </x:top>
      <x:bottom style="thin">
        <x:color rgb="FFD9E2DC"/>
      </x:bottom>
    </x:border>
  </x:borders>
  <x:cellStyleXfs count="1">
    <x:xf numFmtId="0" fontId="0" fillId="0" borderId="0"/>
  </x:cellStyleXfs>
  <x:cellXfs count="17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200" fontId="5" fillId="3" borderId="3" xfId="0" applyNumberFormat="1" applyFont="1" applyFill="1" applyBorder="1"/>
    <x:xf numFmtId="200" fontId="5" fillId="3" borderId="4" xfId="0" applyNumberFormat="1" applyFont="1" applyFill="1" applyBorder="1"/>
    <x:xf numFmtId="200" fontId="5" fillId="3" borderId="5" xfId="0" applyNumberFormat="1" applyFont="1" applyFill="1" applyBorder="1"/>
    <x:xf numFmtId="200" fontId="5" fillId="3" borderId="6" xfId="0" applyNumberFormat="1" applyFont="1" applyFill="1" applyBorder="1"/>
    <x:xf numFmtId="200" fontId="5" fillId="3" borderId="3" xfId="0" applyNumberFormat="1" applyFont="1" applyFill="1" applyBorder="1" applyAlignment="1">
      <x:alignment horizontal="center"/>
    </x:xf>
    <x:xf numFmtId="200" fontId="5" fillId="3" borderId="4" xfId="0" applyNumberFormat="1" applyFont="1" applyFill="1" applyBorder="1" applyAlignment="1">
      <x:alignment horizontal="center"/>
    </x:xf>
    <x:xf numFmtId="200" fontId="5" fillId="3" borderId="5" xfId="0" applyNumberFormat="1" applyFont="1" applyFill="1" applyBorder="1" applyAlignment="1">
      <x:alignment horizontal="center"/>
    </x:xf>
    <x:xf numFmtId="200" fontId="5" fillId="3" borderId="6" xfId="0" applyNumberFormat="1" applyFont="1" applyFill="1" applyBorder="1" applyAlignment="1">
      <x:alignment horizontal="center"/>
    </x:xf>
    <x:xf numFmtId="200" fontId="5" fillId="3" borderId="3" xfId="0" applyNumberFormat="1" applyFont="1" applyFill="1" applyBorder="1" applyAlignment="1">
      <x:alignment horizontal="center" vertical="center"/>
    </x:xf>
    <x:xf numFmtId="200" fontId="5" fillId="3" borderId="4" xfId="0" applyNumberFormat="1" applyFont="1" applyFill="1" applyBorder="1" applyAlignment="1">
      <x:alignment horizontal="center" vertical="center"/>
    </x:xf>
    <x:xf numFmtId="200" fontId="5" fillId="3" borderId="5" xfId="0" applyNumberFormat="1" applyFont="1" applyFill="1" applyBorder="1" applyAlignment="1">
      <x:alignment horizontal="center" vertical="center"/>
    </x:xf>
    <x:xf numFmtId="200" fontId="5" fillId="3" borderId="6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/>
    <x:xf numFmtId="0" fontId="5" fillId="4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200" fontId="5" fillId="4" borderId="3" xfId="0" applyNumberFormat="1" applyFont="1" applyFill="1" applyBorder="1"/>
    <x:xf numFmtId="200" fontId="5" fillId="4" borderId="4" xfId="0" applyNumberFormat="1" applyFont="1" applyFill="1" applyBorder="1"/>
    <x:xf numFmtId="200" fontId="5" fillId="4" borderId="5" xfId="0" applyNumberFormat="1" applyFont="1" applyFill="1" applyBorder="1"/>
    <x:xf numFmtId="200" fontId="5" fillId="4" borderId="6" xfId="0" applyNumberFormat="1" applyFont="1" applyFill="1" applyBorder="1"/>
    <x:xf numFmtId="200" fontId="5" fillId="4" borderId="3" xfId="0" applyNumberFormat="1" applyFont="1" applyFill="1" applyBorder="1" applyAlignment="1">
      <x:alignment horizontal="center"/>
    </x:xf>
    <x:xf numFmtId="200" fontId="5" fillId="4" borderId="4" xfId="0" applyNumberFormat="1" applyFont="1" applyFill="1" applyBorder="1" applyAlignment="1">
      <x:alignment horizontal="center"/>
    </x:xf>
    <x:xf numFmtId="200" fontId="5" fillId="4" borderId="5" xfId="0" applyNumberFormat="1" applyFont="1" applyFill="1" applyBorder="1" applyAlignment="1">
      <x:alignment horizontal="center"/>
    </x:xf>
    <x:xf numFmtId="200" fontId="5" fillId="4" borderId="6" xfId="0" applyNumberFormat="1" applyFont="1" applyFill="1" applyBorder="1" applyAlignment="1">
      <x:alignment horizontal="center"/>
    </x:xf>
    <x:xf numFmtId="200" fontId="5" fillId="4" borderId="3" xfId="0" applyNumberFormat="1" applyFont="1" applyFill="1" applyBorder="1" applyAlignment="1">
      <x:alignment horizontal="center" vertical="center"/>
    </x:xf>
    <x:xf numFmtId="200" fontId="5" fillId="4" borderId="4" xfId="0" applyNumberFormat="1" applyFont="1" applyFill="1" applyBorder="1" applyAlignment="1">
      <x:alignment horizontal="center" vertical="center"/>
    </x:xf>
    <x:xf numFmtId="200" fontId="5" fillId="4" borderId="5" xfId="0" applyNumberFormat="1" applyFont="1" applyFill="1" applyBorder="1" applyAlignment="1">
      <x:alignment horizontal="center" vertical="center"/>
    </x:xf>
    <x:xf numFmtId="200" fontId="5" fillId="4" borderId="6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200" fontId="5" fillId="5" borderId="3" xfId="0" applyNumberFormat="1" applyFont="1" applyFill="1" applyBorder="1"/>
    <x:xf numFmtId="200" fontId="5" fillId="5" borderId="4" xfId="0" applyNumberFormat="1" applyFont="1" applyFill="1" applyBorder="1"/>
    <x:xf numFmtId="200" fontId="5" fillId="5" borderId="5" xfId="0" applyNumberFormat="1" applyFont="1" applyFill="1" applyBorder="1"/>
    <x:xf numFmtId="200" fontId="5" fillId="5" borderId="6" xfId="0" applyNumberFormat="1" applyFont="1" applyFill="1" applyBorder="1"/>
    <x:xf numFmtId="200" fontId="5" fillId="5" borderId="3" xfId="0" applyNumberFormat="1" applyFont="1" applyFill="1" applyBorder="1" applyAlignment="1">
      <x:alignment horizontal="center"/>
    </x:xf>
    <x:xf numFmtId="200" fontId="5" fillId="5" borderId="4" xfId="0" applyNumberFormat="1" applyFont="1" applyFill="1" applyBorder="1" applyAlignment="1">
      <x:alignment horizontal="center"/>
    </x:xf>
    <x:xf numFmtId="200" fontId="5" fillId="5" borderId="5" xfId="0" applyNumberFormat="1" applyFont="1" applyFill="1" applyBorder="1" applyAlignment="1">
      <x:alignment horizontal="center"/>
    </x:xf>
    <x:xf numFmtId="200" fontId="5" fillId="5" borderId="6" xfId="0" applyNumberFormat="1" applyFont="1" applyFill="1" applyBorder="1" applyAlignment="1">
      <x:alignment horizontal="center"/>
    </x:xf>
    <x:xf numFmtId="200" fontId="5" fillId="5" borderId="3" xfId="0" applyNumberFormat="1" applyFont="1" applyFill="1" applyBorder="1" applyAlignment="1">
      <x:alignment horizontal="center" vertical="center"/>
    </x:xf>
    <x:xf numFmtId="200" fontId="5" fillId="5" borderId="4" xfId="0" applyNumberFormat="1" applyFont="1" applyFill="1" applyBorder="1" applyAlignment="1">
      <x:alignment horizontal="center" vertical="center"/>
    </x:xf>
    <x:xf numFmtId="200" fontId="5" fillId="5" borderId="5" xfId="0" applyNumberFormat="1" applyFont="1" applyFill="1" applyBorder="1" applyAlignment="1">
      <x:alignment horizontal="center" vertical="center"/>
    </x:xf>
    <x:xf numFmtId="200" fontId="5" fillId="5" borderId="6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7" xfId="0" applyNumberFormat="1" applyFont="1" applyFill="1" applyBorder="1"/>
    <x:xf numFmtId="0" fontId="6" fillId="3" borderId="7" xfId="0" applyNumberFormat="1" applyFont="1" applyFill="1" applyBorder="1" applyAlignment="1">
      <x:alignment vertical="center"/>
    </x:xf>
    <x:xf numFmtId="0" fontId="1" fillId="5" borderId="8" xfId="0" applyNumberFormat="1" applyFont="1" applyFill="1" applyBorder="1"/>
    <x:xf numFmtId="0" fontId="1" fillId="5" borderId="9" xfId="0" applyNumberFormat="1" applyFont="1" applyFill="1" applyBorder="1"/>
    <x:xf numFmtId="0" fontId="1" fillId="5" borderId="10" xfId="0" applyNumberFormat="1" applyFont="1" applyFill="1" applyBorder="1"/>
    <x:xf numFmtId="0" fontId="1" fillId="5" borderId="11" xfId="0" applyNumberFormat="1" applyFont="1" applyFill="1" applyBorder="1"/>
    <x:xf numFmtId="0" fontId="1" fillId="5" borderId="12" xfId="0" applyNumberFormat="1" applyFont="1" applyFill="1" applyBorder="1"/>
    <x:xf numFmtId="0" fontId="1" fillId="5" borderId="13" xfId="0" applyNumberFormat="1" applyFont="1" applyFill="1" applyBorder="1"/>
    <x:xf numFmtId="0" fontId="1" fillId="5" borderId="14" xfId="0" applyNumberFormat="1" applyFont="1" applyFill="1" applyBorder="1"/>
    <x:xf numFmtId="0" fontId="1" fillId="5" borderId="15" xfId="0" applyNumberFormat="1" applyFont="1" applyFill="1" applyBorder="1"/>
    <x:xf numFmtId="0" fontId="1" fillId="5" borderId="8" xfId="0" applyNumberFormat="1" applyFont="1" applyFill="1" applyBorder="1" applyAlignment="1">
      <x:alignment wrapText="1"/>
    </x:xf>
    <x:xf numFmtId="0" fontId="1" fillId="5" borderId="9" xfId="0" applyNumberFormat="1" applyFont="1" applyFill="1" applyBorder="1" applyAlignment="1">
      <x:alignment wrapText="1"/>
    </x:xf>
    <x:xf numFmtId="0" fontId="1" fillId="5" borderId="10" xfId="0" applyNumberFormat="1" applyFont="1" applyFill="1" applyBorder="1" applyAlignment="1">
      <x:alignment wrapText="1"/>
    </x:xf>
    <x:xf numFmtId="0" fontId="1" fillId="5" borderId="11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12" xfId="0" applyNumberFormat="1" applyFont="1" applyFill="1" applyBorder="1" applyAlignment="1">
      <x:alignment wrapText="1"/>
    </x:xf>
    <x:xf numFmtId="0" fontId="1" fillId="5" borderId="13" xfId="0" applyNumberFormat="1" applyFont="1" applyFill="1" applyBorder="1" applyAlignment="1">
      <x:alignment wrapText="1"/>
    </x:xf>
    <x:xf numFmtId="0" fontId="1" fillId="5" borderId="14" xfId="0" applyNumberFormat="1" applyFont="1" applyFill="1" applyBorder="1" applyAlignment="1">
      <x:alignment wrapText="1"/>
    </x:xf>
    <x:xf numFmtId="0" fontId="1" fillId="5" borderId="15" xfId="0" applyNumberFormat="1" applyFont="1" applyFill="1" applyBorder="1" applyAlignment="1">
      <x:alignment wrapText="1"/>
    </x:xf>
    <x:xf numFmtId="0" fontId="1" fillId="5" borderId="8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0" fontId="1" fillId="5" borderId="10" xfId="0" applyNumberFormat="1" applyFont="1" applyFill="1" applyBorder="1" applyAlignment="1">
      <x:alignment vertical="center" wrapText="1"/>
    </x:xf>
    <x:xf numFmtId="0" fontId="1" fillId="5" borderId="1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12" xfId="0" applyNumberFormat="1" applyFont="1" applyFill="1" applyBorder="1" applyAlignment="1">
      <x:alignment vertical="center" wrapText="1"/>
    </x:xf>
    <x:xf numFmtId="0" fontId="1" fillId="5" borderId="13" xfId="0" applyNumberFormat="1" applyFont="1" applyFill="1" applyBorder="1" applyAlignment="1">
      <x:alignment vertical="center" wrapText="1"/>
    </x:xf>
    <x:xf numFmtId="0" fontId="1" fillId="5" borderId="14" xfId="0" applyNumberFormat="1" applyFont="1" applyFill="1" applyBorder="1" applyAlignment="1">
      <x:alignment vertical="center" wrapText="1"/>
    </x:xf>
    <x:xf numFmtId="0" fontId="1" fillId="5" borderId="15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16" xfId="0" applyNumberFormat="1" applyFont="1" applyFill="1" applyBorder="1"/>
    <x:xf numFmtId="0" fontId="7" fillId="2" borderId="16" xfId="0" applyNumberFormat="1" applyFont="1" applyFill="1" applyBorder="1" applyAlignment="1">
      <x:alignment wrapText="1"/>
    </x:xf>
    <x:xf numFmtId="0" fontId="7" fillId="2" borderId="16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0" fontId="1" fillId="0" borderId="16" xfId="0" applyNumberFormat="1" applyFont="1" applyFill="1" applyBorder="1" applyAlignment="1">
      <x:alignment wrapText="1"/>
    </x:xf>
    <x:xf numFmtId="200" fontId="1" fillId="0" borderId="16" xfId="0" applyNumberFormat="1" applyFont="1" applyFill="1" applyBorder="1" applyAlignment="1">
      <x:alignment wrapText="1"/>
    </x:xf>
    <x:xf numFmtId="201" fontId="1" fillId="0" borderId="16" xfId="0" applyNumberFormat="1" applyFont="1" applyFill="1" applyBorder="1" applyAlignment="1">
      <x:alignment wrapText="1"/>
    </x:xf>
    <x:xf numFmtId="0" fontId="1" fillId="0" borderId="17" xfId="0" applyNumberFormat="1" applyFont="1" applyFill="1" applyBorder="1" applyAlignment="1">
      <x:alignment wrapText="1"/>
    </x:xf>
    <x:xf numFmtId="200" fontId="1" fillId="0" borderId="17" xfId="0" applyNumberFormat="1" applyFont="1" applyFill="1" applyBorder="1" applyAlignment="1">
      <x:alignment wrapText="1"/>
    </x:xf>
    <x:xf numFmtId="201" fontId="1" fillId="0" borderId="17" xfId="0" applyNumberFormat="1" applyFont="1" applyFill="1" applyBorder="1" applyAlignment="1">
      <x:alignment wrapText="1"/>
    </x:xf>
    <x:xf numFmtId="0" fontId="1" fillId="0" borderId="16" xfId="0" applyNumberFormat="1" applyFont="1" applyFill="1" applyBorder="1" applyAlignment="1">
      <x:alignment vertical="center" wrapText="1"/>
    </x:xf>
    <x:xf numFmtId="200" fontId="1" fillId="0" borderId="16" xfId="0" applyNumberFormat="1" applyFont="1" applyFill="1" applyBorder="1" applyAlignment="1">
      <x:alignment vertical="center" wrapText="1"/>
    </x:xf>
    <x:xf numFmtId="201" fontId="1" fillId="0" borderId="16" xfId="0" applyNumberFormat="1" applyFont="1" applyFill="1" applyBorder="1" applyAlignment="1">
      <x:alignment vertical="center" wrapText="1"/>
    </x:xf>
    <x:xf numFmtId="0" fontId="1" fillId="0" borderId="17" xfId="0" applyNumberFormat="1" applyFont="1" applyFill="1" applyBorder="1" applyAlignment="1">
      <x:alignment vertical="center" wrapText="1"/>
    </x:xf>
    <x:xf numFmtId="200" fontId="1" fillId="0" borderId="17" xfId="0" applyNumberFormat="1" applyFont="1" applyFill="1" applyBorder="1" applyAlignment="1">
      <x:alignment vertical="center" wrapText="1"/>
    </x:xf>
    <x:xf numFmtId="201" fontId="1" fillId="0" borderId="17" xfId="0" applyNumberFormat="1" applyFont="1" applyFill="1" applyBorder="1" applyAlignment="1">
      <x:alignment vertical="center" wrapText="1"/>
    </x:xf>
    <x:xf numFmtId="0" fontId="1" fillId="6" borderId="17" xfId="0" applyNumberFormat="1" applyFont="1" applyFill="1" applyBorder="1" applyAlignment="1">
      <x:alignment vertical="center" wrapText="1"/>
    </x:xf>
    <x:xf numFmtId="200" fontId="1" fillId="6" borderId="17" xfId="0" applyNumberFormat="1" applyFont="1" applyFill="1" applyBorder="1" applyAlignment="1">
      <x:alignment vertical="center" wrapText="1"/>
    </x:xf>
    <x:xf numFmtId="201" fontId="1" fillId="6" borderId="17" xfId="0" applyNumberFormat="1" applyFont="1" applyFill="1" applyBorder="1" applyAlignment="1">
      <x:alignment vertical="center" wrapText="1"/>
    </x:xf>
    <x:xf numFmtId="0" fontId="8" fillId="6" borderId="17" xfId="0" applyNumberFormat="1" applyFont="1" applyFill="1" applyBorder="1" applyAlignment="1">
      <x:alignment vertical="center" wrapText="1"/>
    </x:xf>
    <x:xf numFmtId="200" fontId="8" fillId="6" borderId="17" xfId="0" applyNumberFormat="1" applyFont="1" applyFill="1" applyBorder="1" applyAlignment="1">
      <x:alignment vertical="center" wrapText="1"/>
    </x:xf>
    <x:xf numFmtId="201" fontId="8" fillId="6" borderId="17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1" fillId="0" borderId="16" xfId="0" applyNumberFormat="1" applyFont="1" applyFill="1" applyBorder="1" applyAlignment="1">
      <x:alignment vertical="center"/>
    </x:xf>
    <x:xf numFmtId="0" fontId="1" fillId="0" borderId="17" xfId="0" applyNumberFormat="1" applyFont="1" applyFill="1" applyBorder="1" applyAlignment="1">
      <x:alignment vertical="center"/>
    </x:xf>
    <x:xf numFmtId="0" fontId="9" fillId="0" borderId="16" xfId="0" applyNumberFormat="1" applyFont="1" applyFill="1" applyBorder="1" applyAlignment="1">
      <x:alignment vertical="center" wrapText="1"/>
    </x:xf>
    <x:xf numFmtId="0" fontId="9" fillId="0" borderId="17" xfId="0" applyNumberFormat="1" applyFont="1" applyFill="1" applyBorder="1" applyAlignment="1">
      <x:alignment vertical="center" wrapText="1"/>
    </x:xf>
    <x:xf numFmtId="202" fontId="5" fillId="5" borderId="3" xfId="0" applyNumberFormat="1" applyFont="1" applyFill="1" applyBorder="1"/>
    <x:xf numFmtId="202" fontId="5" fillId="5" borderId="4" xfId="0" applyNumberFormat="1" applyFont="1" applyFill="1" applyBorder="1"/>
    <x:xf numFmtId="202" fontId="5" fillId="5" borderId="5" xfId="0" applyNumberFormat="1" applyFont="1" applyFill="1" applyBorder="1"/>
    <x:xf numFmtId="202" fontId="5" fillId="5" borderId="6" xfId="0" applyNumberFormat="1" applyFont="1" applyFill="1" applyBorder="1"/>
    <x:xf numFmtId="202" fontId="5" fillId="5" borderId="3" xfId="0" applyNumberFormat="1" applyFont="1" applyFill="1" applyBorder="1" applyAlignment="1">
      <x:alignment horizontal="center"/>
    </x:xf>
    <x:xf numFmtId="202" fontId="5" fillId="5" borderId="4" xfId="0" applyNumberFormat="1" applyFont="1" applyFill="1" applyBorder="1" applyAlignment="1">
      <x:alignment horizontal="center"/>
    </x:xf>
    <x:xf numFmtId="202" fontId="5" fillId="5" borderId="5" xfId="0" applyNumberFormat="1" applyFont="1" applyFill="1" applyBorder="1" applyAlignment="1">
      <x:alignment horizontal="center"/>
    </x:xf>
    <x:xf numFmtId="202" fontId="5" fillId="5" borderId="6" xfId="0" applyNumberFormat="1" applyFont="1" applyFill="1" applyBorder="1" applyAlignment="1">
      <x:alignment horizontal="center"/>
    </x:xf>
    <x:xf numFmtId="202" fontId="5" fillId="5" borderId="3" xfId="0" applyNumberFormat="1" applyFont="1" applyFill="1" applyBorder="1" applyAlignment="1">
      <x:alignment horizontal="center" vertical="center"/>
    </x:xf>
    <x:xf numFmtId="202" fontId="5" fillId="5" borderId="4" xfId="0" applyNumberFormat="1" applyFont="1" applyFill="1" applyBorder="1" applyAlignment="1">
      <x:alignment horizontal="center" vertical="center"/>
    </x:xf>
    <x:xf numFmtId="202" fontId="5" fillId="5" borderId="5" xfId="0" applyNumberFormat="1" applyFont="1" applyFill="1" applyBorder="1" applyAlignment="1">
      <x:alignment horizontal="center" vertical="center"/>
    </x:xf>
    <x:xf numFmtId="202" fontId="5" fillId="5" borderId="6" xfId="0" applyNumberFormat="1" applyFont="1" applyFill="1" applyBorder="1" applyAlignment="1">
      <x:alignment horizontal="center" vertical="center"/>
    </x:xf>
    <x:xf numFmtId="201" fontId="5" fillId="3" borderId="3" xfId="0" applyNumberFormat="1" applyFont="1" applyFill="1" applyBorder="1"/>
    <x:xf numFmtId="201" fontId="5" fillId="3" borderId="4" xfId="0" applyNumberFormat="1" applyFont="1" applyFill="1" applyBorder="1"/>
    <x:xf numFmtId="201" fontId="5" fillId="3" borderId="5" xfId="0" applyNumberFormat="1" applyFont="1" applyFill="1" applyBorder="1"/>
    <x:xf numFmtId="201" fontId="5" fillId="3" borderId="6" xfId="0" applyNumberFormat="1" applyFont="1" applyFill="1" applyBorder="1"/>
    <x:xf numFmtId="201" fontId="5" fillId="3" borderId="3" xfId="0" applyNumberFormat="1" applyFont="1" applyFill="1" applyBorder="1" applyAlignment="1">
      <x:alignment horizontal="center"/>
    </x:xf>
    <x:xf numFmtId="201" fontId="5" fillId="3" borderId="4" xfId="0" applyNumberFormat="1" applyFont="1" applyFill="1" applyBorder="1" applyAlignment="1">
      <x:alignment horizontal="center"/>
    </x:xf>
    <x:xf numFmtId="201" fontId="5" fillId="3" borderId="5" xfId="0" applyNumberFormat="1" applyFont="1" applyFill="1" applyBorder="1" applyAlignment="1">
      <x:alignment horizontal="center"/>
    </x:xf>
    <x:xf numFmtId="201" fontId="5" fillId="3" borderId="6" xfId="0" applyNumberFormat="1" applyFont="1" applyFill="1" applyBorder="1" applyAlignment="1">
      <x:alignment horizontal="center"/>
    </x:xf>
    <x:xf numFmtId="201" fontId="5" fillId="3" borderId="3" xfId="0" applyNumberFormat="1" applyFont="1" applyFill="1" applyBorder="1" applyAlignment="1">
      <x:alignment horizontal="center" vertical="center"/>
    </x:xf>
    <x:xf numFmtId="201" fontId="5" fillId="3" borderId="4" xfId="0" applyNumberFormat="1" applyFont="1" applyFill="1" applyBorder="1" applyAlignment="1">
      <x:alignment horizontal="center" vertical="center"/>
    </x:xf>
    <x:xf numFmtId="201" fontId="5" fillId="3" borderId="5" xfId="0" applyNumberFormat="1" applyFont="1" applyFill="1" applyBorder="1" applyAlignment="1">
      <x:alignment horizontal="center" vertical="center"/>
    </x:xf>
    <x:xf numFmtId="201" fontId="5" fillId="3" borderId="6" xfId="0" applyNumberFormat="1" applyFont="1" applyFill="1" applyBorder="1" applyAlignment="1">
      <x:alignment horizontal="center" vertical="center"/>
    </x:xf>
    <x:xf numFmtId="200" fontId="1" fillId="0" borderId="16" xfId="0" applyNumberFormat="1" applyFont="1" applyFill="1" applyBorder="1" applyAlignment="1">
      <x:alignment vertical="center"/>
    </x:xf>
    <x:xf numFmtId="200" fontId="1" fillId="0" borderId="17" xfId="0" applyNumberFormat="1" applyFont="1" applyFill="1" applyBorder="1" applyAlignment="1">
      <x:alignment vertical="center"/>
    </x:xf>
    <x:xf numFmtId="201" fontId="1" fillId="0" borderId="17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16" xfId="0" applyNumberFormat="1" applyFont="1" applyFill="1" applyBorder="1"/>
    <x:xf numFmtId="201" fontId="1" fillId="0" borderId="16" xfId="0" applyNumberFormat="1" applyFont="1" applyFill="1" applyBorder="1"/>
    <x:xf numFmtId="200" fontId="1" fillId="0" borderId="17" xfId="0" applyNumberFormat="1" applyFont="1" applyFill="1" applyBorder="1"/>
    <x:xf numFmtId="201" fontId="1" fillId="0" borderId="17" xfId="0" applyNumberFormat="1" applyFont="1" applyFill="1" applyBorder="1"/>
    <x:xf numFmtId="201" fontId="1" fillId="0" borderId="1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eafa8852c442bb" /><Relationship Type="http://schemas.openxmlformats.org/officeDocument/2006/relationships/theme" Target="/xl/theme/theme1.xml" Id="R5033b3b253e04bd1" /><Relationship Type="http://schemas.openxmlformats.org/officeDocument/2006/relationships/sharedStrings" Target="/xl/sharedStrings.xml" Id="R7bbf7f6d4d69460d" /><Relationship Type="http://schemas.openxmlformats.org/officeDocument/2006/relationships/worksheet" Target="/xl/worksheets/sheet1.xml" Id="Rda2b7dd2b22b43f5" /><Relationship Type="http://schemas.openxmlformats.org/officeDocument/2006/relationships/worksheet" Target="/xl/worksheets/sheet2.xml" Id="R5fe76cb2ee314cf7" /><Relationship Type="http://schemas.openxmlformats.org/officeDocument/2006/relationships/worksheet" Target="/xl/worksheets/sheet3.xml" Id="R5d27153ae18340ec" /><Relationship Type="http://schemas.openxmlformats.org/officeDocument/2006/relationships/worksheet" Target="/xl/worksheets/sheet4.xml" Id="R0f56f06457ec4cce" /><Relationship Type="http://schemas.openxmlformats.org/officeDocument/2006/relationships/worksheet" Target="/xl/worksheets/sheet5.xml" Id="R0317f7d3d5254ce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3b40f0cc0f643a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3c8d6e8abdc64cc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9cf3e53001134d6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教学主题：单聊与群聊固定样本消息数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单聊消息</c:v>
          </c:tx>
          <c:cat>
            <c:strRef>
              <c:f>'执行摘要'!$A$16:$A$24</c:f>
              <c:strCache>
                <c:ptCount val="0"/>
              </c:strCache>
            </c:strRef>
          </c:cat>
          <c:val>
            <c:numRef>
              <c:f>'执行摘要'!$B$16:$B$24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群聊消息</c:v>
          </c:tx>
          <c:cat>
            <c:strRef>
              <c:f>'执行摘要'!$A$16:$A$24</c:f>
              <c:strCache>
                <c:ptCount val="0"/>
              </c:strCache>
            </c:strRef>
          </c:cat>
          <c:val>
            <c:numRef>
              <c:f>'执行摘要'!$C$16:$C$24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单聊样本在晚间 20–21 点最集中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消息数</c:v>
          </c:tx>
          <c:marker>
            <c:symbol val="none"/>
          </c:marker>
          <c:cat>
            <c:strRef>
              <c:f>'单聊分析'!$E$11:$E$34</c:f>
              <c:strCache>
                <c:ptCount val="0"/>
              </c:strCache>
            </c:strRef>
          </c:cat>
          <c:val>
            <c:numRef>
              <c:f>'单聊分析'!$F$11:$F$34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群聊教学主题：课堂事务、知识、作业居前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消息数</c:v>
          </c:tx>
          <c:cat>
            <c:strRef>
              <c:f>'群聊分析'!$A$25:$A$33</c:f>
              <c:strCache>
                <c:ptCount val="0"/>
              </c:strCache>
            </c:strRef>
          </c:cat>
          <c:val>
            <c:numRef>
              <c:f>'群聊分析'!$B$25:$B$33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b40f0cc0f643a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9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8d6e8abdc64cca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17</xdr:row>
      <xdr:rowOff>0</xdr:rowOff>
    </xdr:from>
    <xdr:to>
      <xdr:col>17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f3e53001134d6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3b038a9d58849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1fc02995c7454b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7cf4b9813e4242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15" hidden="0" customHeight="1">
      <x:c r="A1" s="4" t="str">
        <x:v>ClassIn IM · 2026 年 8 月单聊与群聊抽样分析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</x:row>
    <x:row r="2" ht="15" hidden="0" customHeight="1">
      <x:c r="A2" s="4"/>
      <x:c r="B2" s="4"/>
      <x:c r="C2" s="4"/>
      <x:c r="D2" s="4"/>
      <x:c r="E2" s="4"/>
      <x:c r="F2" s="4"/>
      <x:c r="G2" s="4"/>
      <x:c r="H2" s="4"/>
      <x:c r="I2" s="1"/>
      <x:c r="J2" s="1"/>
      <x:c r="K2" s="1"/>
      <x:c r="L2" s="1"/>
      <x:c r="M2" s="1"/>
      <x:c r="N2" s="1"/>
      <x:c r="O2" s="1"/>
      <x:c r="P2" s="1"/>
      <x:c r="Q2" s="1"/>
    </x:row>
    <x:row r="3" ht="15" hidden="0" customHeight="1">
      <x:c r="A3" s="7" t="str">
        <x:v>819,700 条消息样本 · 8,197 个会话 · 聚合分析，不含原始消息与身份标识</x:v>
      </x:c>
      <x:c r="B3" s="7"/>
      <x:c r="C3" s="7"/>
      <x:c r="D3" s="7"/>
      <x:c r="E3" s="7"/>
      <x:c r="F3" s="7"/>
      <x:c r="G3" s="7"/>
      <x:c r="H3" s="7"/>
      <x:c r="I3" s="1"/>
      <x:c r="J3" s="1"/>
      <x:c r="K3" s="1"/>
      <x:c r="L3" s="1"/>
      <x:c r="M3" s="1"/>
      <x:c r="N3" s="1"/>
      <x:c r="O3" s="1"/>
      <x:c r="P3" s="1"/>
      <x:c r="Q3" s="1"/>
    </x:row>
    <x:row r="4" ht="15" hidden="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15" hidden="0" customHeight="1">
      <x:c r="A5" s="13" t="str">
        <x:v>消息样本</x:v>
      </x:c>
      <x:c r="B5" s="14"/>
      <x:c r="C5" s="38" t="str">
        <x:v>会话数</x:v>
      </x:c>
      <x:c r="D5" s="39"/>
      <x:c r="E5" s="63" t="str">
        <x:v>单聊会话</x:v>
      </x:c>
      <x:c r="F5" s="64"/>
      <x:c r="G5" s="13" t="str">
        <x:v>班级群聊</x:v>
      </x:c>
      <x:c r="H5" s="14"/>
      <x:c r="I5" s="1"/>
      <x:c r="J5" s="1"/>
      <x:c r="K5" s="1"/>
      <x:c r="L5" s="1"/>
      <x:c r="M5" s="1"/>
      <x:c r="N5" s="1"/>
      <x:c r="O5" s="1"/>
      <x:c r="P5" s="1"/>
      <x:c r="Q5" s="1"/>
    </x:row>
    <x:row r="6" ht="15" hidden="0" customHeight="1">
      <x:c r="A6" s="28" t="n">
        <x:v>819700</x:v>
      </x:c>
      <x:c r="B6" s="29"/>
      <x:c r="C6" s="53" t="n">
        <x:v>8197</x:v>
      </x:c>
      <x:c r="D6" s="54"/>
      <x:c r="E6" s="78" t="n">
        <x:v>1805</x:v>
      </x:c>
      <x:c r="F6" s="79"/>
      <x:c r="G6" s="28" t="n">
        <x:v>6392</x:v>
      </x:c>
      <x:c r="H6" s="29"/>
      <x:c r="I6" s="1"/>
      <x:c r="J6" s="1"/>
      <x:c r="K6" s="1"/>
      <x:c r="L6" s="1"/>
      <x:c r="M6" s="1"/>
      <x:c r="N6" s="1"/>
      <x:c r="O6" s="1"/>
      <x:c r="P6" s="1"/>
      <x:c r="Q6" s="1"/>
    </x:row>
    <x:row r="7" ht="15" hidden="0" customHeight="1">
      <x:c r="A7" s="30"/>
      <x:c r="B7" s="31"/>
      <x:c r="C7" s="55"/>
      <x:c r="D7" s="56"/>
      <x:c r="E7" s="80"/>
      <x:c r="F7" s="81"/>
      <x:c r="G7" s="30"/>
      <x:c r="H7" s="31"/>
      <x:c r="I7" s="1"/>
      <x:c r="J7" s="1"/>
      <x:c r="K7" s="1"/>
      <x:c r="L7" s="1"/>
      <x:c r="M7" s="1"/>
      <x:c r="N7" s="1"/>
      <x:c r="O7" s="1"/>
      <x:c r="P7" s="1"/>
      <x:c r="Q7" s="1"/>
    </x:row>
    <x:row r="8" ht="15" hidden="0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5" hidden="0" customHeight="1">
      <x:c r="A9" s="84" t="str">
        <x:v>先读限制</x:v>
      </x:c>
      <x:c r="B9" s="84"/>
      <x:c r="C9" s="84"/>
      <x:c r="D9" s="84"/>
      <x:c r="E9" s="84"/>
      <x:c r="F9" s="84"/>
      <x:c r="G9" s="84"/>
      <x:c r="H9" s="84"/>
      <x:c r="I9" s="1"/>
      <x:c r="J9" s="1"/>
      <x:c r="K9" s="1"/>
      <x:c r="L9" s="1"/>
      <x:c r="M9" s="1"/>
      <x:c r="N9" s="1"/>
      <x:c r="O9" s="1"/>
      <x:c r="P9" s="1"/>
      <x:c r="Q9" s="1"/>
    </x:row>
    <x:row r="10" ht="15" hidden="0" customHeight="1">
      <x:c r="A10" s="102" t="str">
        <x:v>每个会话固定 100 条，rn=1–100 且按时间递增。适合比较内容结构，不适合推断全站消息量、日活或自然日趋势。单聊 user_type 全为“其他”，当前无法拆分师生单聊与学生—学生单聊。</x:v>
      </x:c>
      <x:c r="B10" s="103"/>
      <x:c r="C10" s="103"/>
      <x:c r="D10" s="103"/>
      <x:c r="E10" s="103"/>
      <x:c r="F10" s="103"/>
      <x:c r="G10" s="103"/>
      <x:c r="H10" s="104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5" hidden="0" customHeight="1">
      <x:c r="A11" s="105"/>
      <x:c r="B11" s="106"/>
      <x:c r="C11" s="106"/>
      <x:c r="D11" s="106"/>
      <x:c r="E11" s="106"/>
      <x:c r="F11" s="106"/>
      <x:c r="G11" s="106"/>
      <x:c r="H11" s="107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5" hidden="0" customHeight="1">
      <x:c r="A12" s="108"/>
      <x:c r="B12" s="109"/>
      <x:c r="C12" s="109"/>
      <x:c r="D12" s="109"/>
      <x:c r="E12" s="109"/>
      <x:c r="F12" s="109"/>
      <x:c r="G12" s="109"/>
      <x:c r="H12" s="110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5" hidden="0" customHeight="1">
      <x:c r="A14" s="84" t="str">
        <x:v>教学主题对比</x:v>
      </x:c>
      <x:c r="B14" s="84"/>
      <x:c r="C14" s="84"/>
      <x:c r="D14" s="84"/>
      <x:c r="E14" s="84"/>
      <x:c r="F14" s="84"/>
      <x:c r="G14" s="84"/>
      <x:c r="H14" s="84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5" hidden="0" customHeight="1">
      <x:c r="A15" s="114" t="str">
        <x:v>主题</x:v>
      </x:c>
      <x:c r="B15" s="114" t="str">
        <x:v>单聊消息</x:v>
      </x:c>
      <x:c r="C15" s="114" t="str">
        <x:v>群聊消息</x:v>
      </x:c>
      <x:c r="D15" s="114" t="str">
        <x:v>合计</x:v>
      </x:c>
      <x:c r="E15" s="114" t="str">
        <x:v>单聊/教学锚点</x:v>
      </x:c>
      <x:c r="F15" s="114" t="str">
        <x:v>群聊/教学锚点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5" hidden="0" customHeight="1">
      <x:c r="A16" s="124" t="str">
        <x:v>课程时间与课堂入口</x:v>
      </x:c>
      <x:c r="B16" s="125" t="n">
        <x:v>3224</x:v>
      </x:c>
      <x:c r="C16" s="125" t="n">
        <x:v>22106</x:v>
      </x:c>
      <x:c r="D16" s="125" t="n">
        <x:f>B16+C16</x:f>
        <x:v>25330</x:v>
      </x:c>
      <x:c r="E16" s="126" t="n">
        <x:f>B16/$B$26</x:f>
        <x:v>0.3058243217605767</x:v>
      </x:c>
      <x:c r="F16" s="126" t="n">
        <x:f>C16/$C$26</x:f>
        <x:v>0.3274041380944623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5" hidden="0" customHeight="1">
      <x:c r="A17" s="127" t="str">
        <x:v>知识答疑与讲解</x:v>
      </x:c>
      <x:c r="B17" s="128" t="n">
        <x:v>1869</x:v>
      </x:c>
      <x:c r="C17" s="128" t="n">
        <x:v>11182</x:v>
      </x:c>
      <x:c r="D17" s="128" t="n">
        <x:f>B17+C17</x:f>
        <x:v>13051</x:v>
      </x:c>
      <x:c r="E17" s="129" t="n">
        <x:f>B17/$B$26</x:f>
        <x:v>0.17729083665338646</x:v>
      </x:c>
      <x:c r="F17" s="129" t="n">
        <x:f>C17/$C$26</x:f>
        <x:v>0.16561264236733364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5" hidden="0" customHeight="1">
      <x:c r="A18" s="127" t="str">
        <x:v>作业提交与订正</x:v>
      </x:c>
      <x:c r="B18" s="128" t="n">
        <x:v>1055</x:v>
      </x:c>
      <x:c r="C18" s="128" t="n">
        <x:v>9761</x:v>
      </x:c>
      <x:c r="D18" s="128" t="n">
        <x:f>B18+C18</x:f>
        <x:v>10816</x:v>
      </x:c>
      <x:c r="E18" s="129" t="n">
        <x:f>B18/$B$26</x:f>
        <x:v>0.10007588692847658</x:v>
      </x:c>
      <x:c r="F18" s="129" t="n">
        <x:f>C18/$C$26</x:f>
        <x:v>0.14456671455442172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5" hidden="0" customHeight="1">
      <x:c r="A19" s="127" t="str">
        <x:v>资料文件与回放</x:v>
      </x:c>
      <x:c r="B19" s="128" t="n">
        <x:v>376</x:v>
      </x:c>
      <x:c r="C19" s="128" t="n">
        <x:v>7224</x:v>
      </x:c>
      <x:c r="D19" s="128" t="n">
        <x:f>B19+C19</x:f>
        <x:v>7600</x:v>
      </x:c>
      <x:c r="E19" s="129" t="n">
        <x:f>B19/$B$26</x:f>
        <x:v>0.03566685638398786</x:v>
      </x:c>
      <x:c r="F19" s="129" t="n">
        <x:f>C19/$C$26</x:f>
        <x:v>0.10699210592573942</x:v>
      </x:c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5" hidden="0" customHeight="1">
      <x:c r="A20" s="127" t="str">
        <x:v>学习计划与进度</x:v>
      </x:c>
      <x:c r="B20" s="128" t="n">
        <x:v>136</x:v>
      </x:c>
      <x:c r="C20" s="128" t="n">
        <x:v>3973</x:v>
      </x:c>
      <x:c r="D20" s="128" t="n">
        <x:f>B20+C20</x:f>
        <x:v>4109</x:v>
      </x:c>
      <x:c r="E20" s="129" t="n">
        <x:f>B20/$B$26</x:f>
        <x:v>0.012900777841016885</x:v>
      </x:c>
      <x:c r="F20" s="129" t="n">
        <x:f>C20/$C$26</x:f>
        <x:v>0.05884269612997823</x:v>
      </x:c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5" hidden="0" customHeight="1">
      <x:c r="A21" s="127" t="str">
        <x:v>考试测评与成绩</x:v>
      </x:c>
      <x:c r="B21" s="128" t="n">
        <x:v>322</x:v>
      </x:c>
      <x:c r="C21" s="128" t="n">
        <x:v>2684</x:v>
      </x:c>
      <x:c r="D21" s="128" t="n">
        <x:f>B21+C21</x:f>
        <x:v>3006</x:v>
      </x:c>
      <x:c r="E21" s="129" t="n">
        <x:f>B21/$B$26</x:f>
        <x:v>0.03054448871181939</x:v>
      </x:c>
      <x:c r="F21" s="129" t="n">
        <x:f>C21/$C$26</x:f>
        <x:v>0.0397517735748456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5" hidden="0" customHeight="1">
      <x:c r="A22" s="127" t="str">
        <x:v>请假考勤与到课</x:v>
      </x:c>
      <x:c r="B22" s="128" t="n">
        <x:v>459</x:v>
      </x:c>
      <x:c r="C22" s="128" t="n">
        <x:v>2104</x:v>
      </x:c>
      <x:c r="D22" s="128" t="n">
        <x:f>B22+C22</x:f>
        <x:v>2563</x:v>
      </x:c>
      <x:c r="E22" s="129" t="n">
        <x:f>B22/$B$26</x:f>
        <x:v>0.043540125213431986</x:v>
      </x:c>
      <x:c r="F22" s="129" t="n">
        <x:f>C22/$C$26</x:f>
        <x:v>0.03116159895733053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5" hidden="0" customHeight="1">
      <x:c r="A23" s="127" t="str">
        <x:v>反馈激励与情绪</x:v>
      </x:c>
      <x:c r="B23" s="128" t="n">
        <x:v>18</x:v>
      </x:c>
      <x:c r="C23" s="128" t="n">
        <x:v>2098</x:v>
      </x:c>
      <x:c r="D23" s="128" t="n">
        <x:f>B23+C23</x:f>
        <x:v>2116</x:v>
      </x:c>
      <x:c r="E23" s="129" t="n">
        <x:f>B23/$B$26</x:f>
        <x:v>0.001707455890722823</x:v>
      </x:c>
      <x:c r="F23" s="129" t="n">
        <x:f>C23/$C$26</x:f>
        <x:v>0.031072735081976926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5" hidden="0" customHeight="1">
      <x:c r="A24" s="127" t="str">
        <x:v>技术与账号支持</x:v>
      </x:c>
      <x:c r="B24" s="128" t="n">
        <x:v>279</x:v>
      </x:c>
      <x:c r="C24" s="128" t="n">
        <x:v>1392</x:v>
      </x:c>
      <x:c r="D24" s="128" t="n">
        <x:f>B24+C24</x:f>
        <x:v>1671</x:v>
      </x:c>
      <x:c r="E24" s="129" t="n">
        <x:f>B24/$B$26</x:f>
        <x:v>0.026465566306203756</x:v>
      </x:c>
      <x:c r="F24" s="129" t="n">
        <x:f>C24/$C$26</x:f>
        <x:v>0.020616419082036166</x:v>
      </x:c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5" hidden="0" customHeight="1">
      <x:c r="A25" s="127"/>
      <x:c r="B25" s="128"/>
      <x:c r="C25" s="128"/>
      <x:c r="D25" s="128"/>
      <x:c r="E25" s="129"/>
      <x:c r="F25" s="129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5" hidden="0" customHeight="1">
      <x:c r="A26" s="133" t="str">
        <x:v>教学锚点消息（分母）</x:v>
      </x:c>
      <x:c r="B26" s="134" t="n">
        <x:v>10542</x:v>
      </x:c>
      <x:c r="C26" s="134" t="n">
        <x:v>67519</x:v>
      </x:c>
      <x:c r="D26" s="134" t="n">
        <x:f>B26+C26</x:f>
        <x:v>78061</x:v>
      </x:c>
      <x:c r="E26" s="135"/>
      <x:c r="F26" s="135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5" hidden="0" customHeight="1">
      <x:c r="A28" s="84" t="str">
        <x:v>产品判断</x:v>
      </x:c>
      <x:c r="B28" s="84"/>
      <x:c r="C28" s="84"/>
      <x:c r="D28" s="84"/>
      <x:c r="E28" s="84"/>
      <x:c r="F28" s="84"/>
      <x:c r="G28" s="84"/>
      <x:c r="H28" s="84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5" hidden="0" customHeight="1">
      <x:c r="A29" s="114" t="str">
        <x:v>优先级</x:v>
      </x:c>
      <x:c r="B29" s="114" t="str">
        <x:v>机会</x:v>
      </x:c>
      <x:c r="C29" s="114" t="str">
        <x:v>数据依据</x:v>
      </x:c>
      <x:c r="D29" s="114" t="str">
        <x:v>方案</x:v>
      </x:c>
      <x:c r="E29" s="114" t="str">
        <x:v>建议</x:v>
      </x:c>
      <x:c r="F29" s="114" t="str">
        <x:v>风险</x:v>
      </x:c>
      <x:c r="G29" s="114" t="str">
        <x:v>验证指标</x:v>
      </x:c>
      <x:c r="H29" s="114" t="str">
        <x:v>当前状态</x:v>
      </x:c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4" hidden="0" customHeight="1">
      <x:c r="A30" s="140" t="str">
        <x:v>P0</x:v>
      </x:c>
      <x:c r="B30" s="124" t="str">
        <x:v>课堂事务自助</x:v>
      </x:c>
      <x:c r="C30" s="124" t="str">
        <x:v>课程时间/入口为双渠道最高频主题</x:v>
      </x:c>
      <x:c r="D30" s="124" t="str">
        <x:v>方案一</x:v>
      </x:c>
      <x:c r="E30" s="124" t="str">
        <x:v>事实查询、资料定位、快捷回复、受控动作</x:v>
      </x:c>
      <x:c r="F30" s="124" t="str">
        <x:v>事实过期/权限</x:v>
      </x:c>
      <x:c r="G30" s="124" t="str">
        <x:v>任务完成时间、人工转接</x:v>
      </x:c>
      <x:c r="H30" s="124" t="str">
        <x:v>可进入详细设计</x:v>
      </x:c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48" hidden="0" customHeight="1">
      <x:c r="A31" s="141" t="str">
        <x:v>P0</x:v>
      </x:c>
      <x:c r="B31" s="127" t="str">
        <x:v>教师教学沟通雷达</x:v>
      </x:c>
      <x:c r="C31" s="127" t="str">
        <x:v>群聊 11,289 条学生教学疑问；样本内 41.1% 未观察到教师后续发言</x:v>
      </x:c>
      <x:c r="D31" s="127" t="str">
        <x:v>方案三 3A</x:v>
      </x:c>
      <x:c r="E31" s="127" t="str">
        <x:v>私密聚类、来源证据、等待队列、教师分流</x:v>
      </x:c>
      <x:c r="F31" s="127" t="str">
        <x:v>误判/监控感</x:v>
      </x:c>
      <x:c r="G31" s="127" t="str">
        <x:v>发现时间、值得处理率</x:v>
      </x:c>
      <x:c r="H31" s="127" t="str">
        <x:v>首个概念探针</x:v>
      </x:c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36" hidden="0" customHeight="1">
      <x:c r="A32" s="141" t="str">
        <x:v>P1</x:v>
      </x:c>
      <x:c r="B32" s="127" t="str">
        <x:v>聊天转 Learning Case</x:v>
      </x:c>
      <x:c r="C32" s="127" t="str">
        <x:v>群聊知识+作业主题合计 20,943 次多标签命中</x:v>
      </x:c>
      <x:c r="D32" s="127" t="str">
        <x:v>方案三 3C / 方案二入口</x:v>
      </x:c>
      <x:c r="E32" s="127" t="str">
        <x:v>Owner、状态、下一步、证据、收口</x:v>
      </x:c>
      <x:c r="F32" s="127" t="str">
        <x:v>过度工单化</x:v>
      </x:c>
      <x:c r="G32" s="127" t="str">
        <x:v>Case 收口率、学生等待</x:v>
      </x:c>
      <x:c r="H32" s="127" t="str">
        <x:v>先人工复核</x:v>
      </x:c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4" hidden="0" customHeight="1">
      <x:c r="A33" s="141" t="str">
        <x:v>P1</x:v>
      </x:c>
      <x:c r="B33" s="127" t="str">
        <x:v>1v1 回复副驾驶</x:v>
      </x:c>
      <x:c r="C33" s="127" t="str">
        <x:v>单聊中位 8 字；13.8% 疑问表达</x:v>
      </x:c>
      <x:c r="D33" s="127" t="str">
        <x:v>方案一</x:v>
      </x:c>
      <x:c r="E33" s="127" t="str">
        <x:v>上下文补全、回复草稿、插入输入框</x:v>
      </x:c>
      <x:c r="F33" s="127" t="str">
        <x:v>角色缺失/隐私</x:v>
      </x:c>
      <x:c r="G33" s="127" t="str">
        <x:v>采纳率、修改距离</x:v>
      </x:c>
      <x:c r="H33" s="127" t="str">
        <x:v>待角色映射</x:v>
      </x:c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36" hidden="0" customHeight="1">
      <x:c r="A34" s="141" t="str">
        <x:v>P2</x:v>
      </x:c>
      <x:c r="B34" s="127" t="str">
        <x:v>班级 Agent Session</x:v>
      </x:c>
      <x:c r="C34" s="127" t="str">
        <x:v>54.7% 师生混合、36.1% 学生主导</x:v>
      </x:c>
      <x:c r="D34" s="127" t="str">
        <x:v>方案三 3B</x:v>
      </x:c>
      <x:c r="E34" s="127" t="str">
        <x:v>老师开启、限定目标时长、可暂停接管</x:v>
      </x:c>
      <x:c r="F34" s="127" t="str">
        <x:v>公开噪声/错误扩散</x:v>
      </x:c>
      <x:c r="G34" s="127" t="str">
        <x:v>参与覆盖、打扰率</x:v>
      </x:c>
      <x:c r="H34" s="127" t="str">
        <x:v>后置实验</x:v>
      </x:c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</x:sheetData>
  <x:mergeCells>
    <x:mergeCell ref="A1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9:H9"/>
    <x:mergeCell ref="A10:H12"/>
    <x:mergeCell ref="A14:H14"/>
    <x:mergeCell ref="A28:H28"/>
  </x:mergeCells>
  <x:pageMargins left="0.7" right="0.7" top="0.75" bottom="0.75" header="0.3" footer="0.3"/>
  <x:drawing xmlns:r="http://schemas.openxmlformats.org/officeDocument/2006/relationships" r:id="R43b038a9d588495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38" hidden="0" customWidth="1"/>
    <x:col min="5" max="5" width="18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15" hidden="0" customHeight="1">
      <x:c r="A1" s="4" t="str">
        <x:v>1v1 单聊分析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</x:row>
    <x:row r="2" ht="15" hidden="0" customHeight="1">
      <x:c r="A2" s="4"/>
      <x:c r="B2" s="4"/>
      <x:c r="C2" s="4"/>
      <x:c r="D2" s="4"/>
      <x:c r="E2" s="4"/>
      <x:c r="F2" s="4"/>
      <x:c r="G2" s="4"/>
      <x:c r="H2" s="4"/>
      <x:c r="I2" s="1"/>
      <x:c r="J2" s="1"/>
      <x:c r="K2" s="1"/>
      <x:c r="L2" s="1"/>
      <x:c r="M2" s="1"/>
      <x:c r="N2" s="1"/>
      <x:c r="O2" s="1"/>
      <x:c r="P2" s="1"/>
      <x:c r="Q2" s="1"/>
    </x:row>
    <x:row r="3" ht="15" hidden="0" customHeight="1">
      <x:c r="A3" s="7" t="str">
        <x:v>当前只能分析 1v1 整体；缺少参与者角色映射，不能拆分师生单聊与学生—学生单聊</x:v>
      </x:c>
      <x:c r="B3" s="7"/>
      <x:c r="C3" s="7"/>
      <x:c r="D3" s="7"/>
      <x:c r="E3" s="7"/>
      <x:c r="F3" s="7"/>
      <x:c r="G3" s="7"/>
      <x:c r="H3" s="7"/>
      <x:c r="I3" s="1"/>
      <x:c r="J3" s="1"/>
      <x:c r="K3" s="1"/>
      <x:c r="L3" s="1"/>
      <x:c r="M3" s="1"/>
      <x:c r="N3" s="1"/>
      <x:c r="O3" s="1"/>
      <x:c r="P3" s="1"/>
      <x:c r="Q3" s="1"/>
    </x:row>
    <x:row r="4" ht="15" hidden="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15" hidden="0" customHeight="1">
      <x:c r="A5" s="13" t="str">
        <x:v>会话</x:v>
      </x:c>
      <x:c r="B5" s="14"/>
      <x:c r="C5" s="38" t="str">
        <x:v>观察到双方发言</x:v>
      </x:c>
      <x:c r="D5" s="39"/>
      <x:c r="E5" s="63" t="str">
        <x:v>消息长度中位数</x:v>
      </x:c>
      <x:c r="F5" s="64"/>
      <x:c r="G5" s="13" t="str">
        <x:v>教学疑问响应代理</x:v>
      </x:c>
      <x:c r="H5" s="14"/>
      <x:c r="I5" s="1"/>
      <x:c r="J5" s="1"/>
      <x:c r="K5" s="1"/>
      <x:c r="L5" s="1"/>
      <x:c r="M5" s="1"/>
      <x:c r="N5" s="1"/>
      <x:c r="O5" s="1"/>
      <x:c r="P5" s="1"/>
      <x:c r="Q5" s="1"/>
    </x:row>
    <x:row r="6" ht="15" hidden="0" customHeight="1">
      <x:c r="A6" s="28" t="n">
        <x:v>1805</x:v>
      </x:c>
      <x:c r="B6" s="29"/>
      <x:c r="C6" s="53" t="n">
        <x:v>1760</x:v>
      </x:c>
      <x:c r="D6" s="54"/>
      <x:c r="E6" s="150" t="n">
        <x:v>8</x:v>
      </x:c>
      <x:c r="F6" s="151"/>
      <x:c r="G6" s="162" t="n">
        <x:v>0.919481</x:v>
      </x:c>
      <x:c r="H6" s="163"/>
      <x:c r="I6" s="1"/>
      <x:c r="J6" s="1"/>
      <x:c r="K6" s="1"/>
      <x:c r="L6" s="1"/>
      <x:c r="M6" s="1"/>
      <x:c r="N6" s="1"/>
      <x:c r="O6" s="1"/>
      <x:c r="P6" s="1"/>
      <x:c r="Q6" s="1"/>
    </x:row>
    <x:row r="7" ht="15" hidden="0" customHeight="1">
      <x:c r="A7" s="30"/>
      <x:c r="B7" s="31"/>
      <x:c r="C7" s="55"/>
      <x:c r="D7" s="56"/>
      <x:c r="E7" s="152"/>
      <x:c r="F7" s="153"/>
      <x:c r="G7" s="164"/>
      <x:c r="H7" s="165"/>
      <x:c r="I7" s="1"/>
      <x:c r="J7" s="1"/>
      <x:c r="K7" s="1"/>
      <x:c r="L7" s="1"/>
      <x:c r="M7" s="1"/>
      <x:c r="N7" s="1"/>
      <x:c r="O7" s="1"/>
      <x:c r="P7" s="1"/>
      <x:c r="Q7" s="1"/>
    </x:row>
    <x:row r="8" ht="15" hidden="0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5" hidden="0" customHeight="1">
      <x:c r="A9" s="84" t="str">
        <x:v>表达结构</x:v>
      </x:c>
      <x:c r="B9" s="84"/>
      <x:c r="C9" s="84"/>
      <x:c r="D9" s="84"/>
      <x:c r="E9" s="84"/>
      <x:c r="F9" s="84"/>
      <x:c r="G9" s="84"/>
      <x:c r="H9" s="84"/>
      <x:c r="I9" s="1"/>
      <x:c r="J9" s="1"/>
      <x:c r="K9" s="1"/>
      <x:c r="L9" s="1"/>
      <x:c r="M9" s="1"/>
      <x:c r="N9" s="1"/>
      <x:c r="O9" s="1"/>
      <x:c r="P9" s="1"/>
      <x:c r="Q9" s="1"/>
    </x:row>
    <x:row r="10" ht="15" hidden="0" customHeight="1">
      <x:c r="A10" s="114" t="str">
        <x:v>指标</x:v>
      </x:c>
      <x:c r="B10" s="114" t="str">
        <x:v>数值</x:v>
      </x:c>
      <x:c r="C10" s="114" t="str">
        <x:v>比例/单位</x:v>
      </x:c>
      <x:c r="D10" s="114" t="str">
        <x:v>产品含义</x:v>
      </x:c>
      <x:c r="E10" s="114" t="str">
        <x:v>小时</x:v>
      </x:c>
      <x:c r="F10" s="114" t="str">
        <x:v>消息数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5" hidden="0" customHeight="1">
      <x:c r="A11" s="138" t="str">
        <x:v>消息样本</x:v>
      </x:c>
      <x:c r="B11" s="166" t="n">
        <x:v>180500</x:v>
      </x:c>
      <x:c r="C11" s="138" t="str">
        <x:v>条</x:v>
      </x:c>
      <x:c r="D11" s="138" t="str">
        <x:v>每会话固定 100 条</x:v>
      </x:c>
      <x:c r="E11" s="138" t="str">
        <x:v>0:00</x:v>
      </x:c>
      <x:c r="F11" s="138" t="n">
        <x:v>3341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5" hidden="0" customHeight="1">
      <x:c r="A12" s="139" t="str">
        <x:v>20 字符以内</x:v>
      </x:c>
      <x:c r="B12" s="167" t="n">
        <x:v>140707</x:v>
      </x:c>
      <x:c r="C12" s="168" t="n">
        <x:f>B12/B11</x:f>
        <x:v>0.7795401662049861</x:v>
      </x:c>
      <x:c r="D12" s="139" t="str">
        <x:v>不应要求长 Prompt</x:v>
      </x:c>
      <x:c r="E12" s="139" t="str">
        <x:v>1:00</x:v>
      </x:c>
      <x:c r="F12" s="139" t="n">
        <x:v>1020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5" hidden="0" customHeight="1">
      <x:c r="A13" s="139" t="str">
        <x:v>疑问表达</x:v>
      </x:c>
      <x:c r="B13" s="167" t="n">
        <x:v>24933</x:v>
      </x:c>
      <x:c r="C13" s="168" t="n">
        <x:f>B13/B11</x:f>
        <x:v>0.13813296398891967</x:v>
      </x:c>
      <x:c r="D13" s="139" t="str">
        <x:v>适合当前对话理解与回复草稿</x:v>
      </x:c>
      <x:c r="E13" s="139" t="str">
        <x:v>2:00</x:v>
      </x:c>
      <x:c r="F13" s="139" t="n">
        <x:v>350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5" hidden="0" customHeight="1">
      <x:c r="A14" s="139" t="str">
        <x:v>教学锚点消息</x:v>
      </x:c>
      <x:c r="B14" s="167" t="n">
        <x:v>10542</x:v>
      </x:c>
      <x:c r="C14" s="168" t="n">
        <x:f>B14/B11</x:f>
        <x:v>0.058404432132963986</x:v>
      </x:c>
      <x:c r="D14" s="139" t="str">
        <x:v>教学相关度下限信号</x:v>
      </x:c>
      <x:c r="E14" s="139" t="str">
        <x:v>3:00</x:v>
      </x:c>
      <x:c r="F14" s="139" t="n">
        <x:v>193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5" hidden="0" customHeight="1">
      <x:c r="A15" s="139" t="str">
        <x:v>教学疑问</x:v>
      </x:c>
      <x:c r="B15" s="167" t="n">
        <x:v>2310</x:v>
      </x:c>
      <x:c r="C15" s="168" t="n">
        <x:f>B15/B14</x:f>
        <x:v>0.21912350597609562</x:v>
      </x:c>
      <x:c r="D15" s="139" t="str">
        <x:v>适合知识/作业 Case 探针</x:v>
      </x:c>
      <x:c r="E15" s="139" t="str">
        <x:v>4:00</x:v>
      </x:c>
      <x:c r="F15" s="139" t="n">
        <x:v>149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5" hidden="0" customHeight="1">
      <x:c r="A16" s="139" t="str">
        <x:v>样本内未观察到对方回应</x:v>
      </x:c>
      <x:c r="B16" s="167" t="n">
        <x:v>186</x:v>
      </x:c>
      <x:c r="C16" s="168" t="n">
        <x:f>B16/B15</x:f>
        <x:v>0.08051948051948052</x:v>
      </x:c>
      <x:c r="D16" s="139" t="str">
        <x:v>不是未解决率，存在截断</x:v>
      </x:c>
      <x:c r="E16" s="139" t="str">
        <x:v>5:00</x:v>
      </x:c>
      <x:c r="F16" s="139" t="n">
        <x:v>187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5" hidden="0" customHeight="1">
      <x:c r="A17" s="1"/>
      <x:c r="B17" s="1"/>
      <x:c r="C17" s="1"/>
      <x:c r="D17" s="1"/>
      <x:c r="E17" s="139" t="str">
        <x:v>6:00</x:v>
      </x:c>
      <x:c r="F17" s="139" t="n">
        <x:v>770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5" hidden="0" customHeight="1">
      <x:c r="A18" s="84" t="str">
        <x:v>高置信教学主题</x:v>
      </x:c>
      <x:c r="B18" s="84"/>
      <x:c r="C18" s="84"/>
      <x:c r="D18" s="1"/>
      <x:c r="E18" s="139" t="str">
        <x:v>7:00</x:v>
      </x:c>
      <x:c r="F18" s="139" t="n">
        <x:v>1741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5" hidden="0" customHeight="1">
      <x:c r="A19" s="114" t="str">
        <x:v>主题</x:v>
      </x:c>
      <x:c r="B19" s="114" t="str">
        <x:v>消息数</x:v>
      </x:c>
      <x:c r="C19" s="114" t="str">
        <x:v>占教学锚点</x:v>
      </x:c>
      <x:c r="D19" s="1"/>
      <x:c r="E19" s="139" t="str">
        <x:v>8:00</x:v>
      </x:c>
      <x:c r="F19" s="139" t="n">
        <x:v>4827</x:v>
      </x:c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5" hidden="0" customHeight="1">
      <x:c r="A20" s="138" t="str">
        <x:v>课程时间与课堂入口</x:v>
      </x:c>
      <x:c r="B20" s="166" t="n">
        <x:v>3224</x:v>
      </x:c>
      <x:c r="C20" s="175" t="n">
        <x:f>B20/$B$29</x:f>
        <x:v>0.3058243217605767</x:v>
      </x:c>
      <x:c r="D20" s="1"/>
      <x:c r="E20" s="139" t="str">
        <x:v>9:00</x:v>
      </x:c>
      <x:c r="F20" s="139" t="n">
        <x:v>7690</x:v>
      </x:c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5" hidden="0" customHeight="1">
      <x:c r="A21" s="139" t="str">
        <x:v>知识答疑与讲解</x:v>
      </x:c>
      <x:c r="B21" s="167" t="n">
        <x:v>1869</x:v>
      </x:c>
      <x:c r="C21" s="168" t="n">
        <x:f>B21/$B$29</x:f>
        <x:v>0.17729083665338646</x:v>
      </x:c>
      <x:c r="D21" s="1"/>
      <x:c r="E21" s="139" t="str">
        <x:v>10:00</x:v>
      </x:c>
      <x:c r="F21" s="139" t="n">
        <x:v>10649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5" hidden="0" customHeight="1">
      <x:c r="A22" s="139" t="str">
        <x:v>作业提交与订正</x:v>
      </x:c>
      <x:c r="B22" s="167" t="n">
        <x:v>1055</x:v>
      </x:c>
      <x:c r="C22" s="168" t="n">
        <x:f>B22/$B$29</x:f>
        <x:v>0.10007588692847658</x:v>
      </x:c>
      <x:c r="D22" s="1"/>
      <x:c r="E22" s="139" t="str">
        <x:v>11:00</x:v>
      </x:c>
      <x:c r="F22" s="139" t="n">
        <x:v>11378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5" hidden="0" customHeight="1">
      <x:c r="A23" s="139" t="str">
        <x:v>资料文件与回放</x:v>
      </x:c>
      <x:c r="B23" s="167" t="n">
        <x:v>376</x:v>
      </x:c>
      <x:c r="C23" s="168" t="n">
        <x:f>B23/$B$29</x:f>
        <x:v>0.03566685638398786</x:v>
      </x:c>
      <x:c r="D23" s="1"/>
      <x:c r="E23" s="139" t="str">
        <x:v>12:00</x:v>
      </x:c>
      <x:c r="F23" s="139" t="n">
        <x:v>9587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5" hidden="0" customHeight="1">
      <x:c r="A24" s="139" t="str">
        <x:v>学习计划与进度</x:v>
      </x:c>
      <x:c r="B24" s="167" t="n">
        <x:v>136</x:v>
      </x:c>
      <x:c r="C24" s="168" t="n">
        <x:f>B24/$B$29</x:f>
        <x:v>0.012900777841016885</x:v>
      </x:c>
      <x:c r="D24" s="1"/>
      <x:c r="E24" s="139" t="str">
        <x:v>13:00</x:v>
      </x:c>
      <x:c r="F24" s="139" t="n">
        <x:v>9319</x:v>
      </x:c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5" hidden="0" customHeight="1">
      <x:c r="A25" s="139" t="str">
        <x:v>考试测评与成绩</x:v>
      </x:c>
      <x:c r="B25" s="167" t="n">
        <x:v>322</x:v>
      </x:c>
      <x:c r="C25" s="168" t="n">
        <x:f>B25/$B$29</x:f>
        <x:v>0.03054448871181939</x:v>
      </x:c>
      <x:c r="D25" s="1"/>
      <x:c r="E25" s="139" t="str">
        <x:v>14:00</x:v>
      </x:c>
      <x:c r="F25" s="139" t="n">
        <x:v>10109</x:v>
      </x:c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5" hidden="0" customHeight="1">
      <x:c r="A26" s="139" t="str">
        <x:v>请假考勤与到课</x:v>
      </x:c>
      <x:c r="B26" s="167" t="n">
        <x:v>459</x:v>
      </x:c>
      <x:c r="C26" s="168" t="n">
        <x:f>B26/$B$29</x:f>
        <x:v>0.043540125213431986</x:v>
      </x:c>
      <x:c r="D26" s="1"/>
      <x:c r="E26" s="139" t="str">
        <x:v>15:00</x:v>
      </x:c>
      <x:c r="F26" s="139" t="n">
        <x:v>10114</x:v>
      </x:c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5" hidden="0" customHeight="1">
      <x:c r="A27" s="139" t="str">
        <x:v>反馈激励与情绪</x:v>
      </x:c>
      <x:c r="B27" s="167" t="n">
        <x:v>18</x:v>
      </x:c>
      <x:c r="C27" s="168" t="n">
        <x:f>B27/$B$29</x:f>
        <x:v>0.001707455890722823</x:v>
      </x:c>
      <x:c r="D27" s="1"/>
      <x:c r="E27" s="139" t="str">
        <x:v>16:00</x:v>
      </x:c>
      <x:c r="F27" s="139" t="n">
        <x:v>10502</x:v>
      </x:c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5" hidden="0" customHeight="1">
      <x:c r="A28" s="139" t="str">
        <x:v>技术与账号支持</x:v>
      </x:c>
      <x:c r="B28" s="167" t="n">
        <x:v>279</x:v>
      </x:c>
      <x:c r="C28" s="168" t="n">
        <x:f>B28/$B$29</x:f>
        <x:v>0.026465566306203756</x:v>
      </x:c>
      <x:c r="D28" s="1"/>
      <x:c r="E28" s="139" t="str">
        <x:v>17:00</x:v>
      </x:c>
      <x:c r="F28" s="139" t="n">
        <x:v>11191</x:v>
      </x:c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5" hidden="0" customHeight="1">
      <x:c r="A29" s="139" t="str">
        <x:v>教学锚点消息（分母）</x:v>
      </x:c>
      <x:c r="B29" s="167" t="n">
        <x:v>10542</x:v>
      </x:c>
      <x:c r="C29" s="139"/>
      <x:c r="D29" s="1"/>
      <x:c r="E29" s="139" t="str">
        <x:v>18:00</x:v>
      </x:c>
      <x:c r="F29" s="139" t="n">
        <x:v>12088</x:v>
      </x:c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5" hidden="0" customHeight="1">
      <x:c r="A30" s="1"/>
      <x:c r="B30" s="1"/>
      <x:c r="C30" s="1"/>
      <x:c r="D30" s="1"/>
      <x:c r="E30" s="139" t="str">
        <x:v>19:00</x:v>
      </x:c>
      <x:c r="F30" s="139" t="n">
        <x:v>13056</x:v>
      </x:c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5" hidden="0" customHeight="1">
      <x:c r="A31" s="84" t="str">
        <x:v>教学语境灵敏度</x:v>
      </x:c>
      <x:c r="B31" s="84"/>
      <x:c r="C31" s="84"/>
      <x:c r="D31" s="1"/>
      <x:c r="E31" s="139" t="str">
        <x:v>20:00</x:v>
      </x:c>
      <x:c r="F31" s="139" t="n">
        <x:v>16821</x:v>
      </x:c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5" hidden="0" customHeight="1">
      <x:c r="A32" s="114" t="str">
        <x:v>阈值</x:v>
      </x:c>
      <x:c r="B32" s="114" t="str">
        <x:v>会话数</x:v>
      </x:c>
      <x:c r="C32" s="114" t="str">
        <x:v>会话占比</x:v>
      </x:c>
      <x:c r="D32" s="1"/>
      <x:c r="E32" s="139" t="str">
        <x:v>21:00</x:v>
      </x:c>
      <x:c r="F32" s="139" t="n">
        <x:v>17121</x:v>
      </x:c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15" hidden="0" customHeight="1">
      <x:c r="A33" s="138" t="str">
        <x:v>&gt;=1条教学锚点消息</x:v>
      </x:c>
      <x:c r="B33" s="166" t="n">
        <x:v>1209</x:v>
      </x:c>
      <x:c r="C33" s="175" t="n">
        <x:f>B33/$A$6</x:f>
        <x:v>0.6698060941828254</x:v>
      </x:c>
      <x:c r="D33" s="1"/>
      <x:c r="E33" s="139" t="str">
        <x:v>22:00</x:v>
      </x:c>
      <x:c r="F33" s="139" t="n">
        <x:v>11833</x:v>
      </x:c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15" hidden="0" customHeight="1">
      <x:c r="A34" s="139" t="str">
        <x:v>&gt;=5条教学锚点消息</x:v>
      </x:c>
      <x:c r="B34" s="167" t="n">
        <x:v>647</x:v>
      </x:c>
      <x:c r="C34" s="168" t="n">
        <x:f>B34/$A$6</x:f>
        <x:v>0.35844875346260385</x:v>
      </x:c>
      <x:c r="D34" s="1"/>
      <x:c r="E34" s="139" t="str">
        <x:v>23:00</x:v>
      </x:c>
      <x:c r="F34" s="139" t="n">
        <x:v>6464</x:v>
      </x:c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5" hidden="0" customHeight="1">
      <x:c r="A35" s="139" t="str">
        <x:v>&gt;=10条教学锚点消息</x:v>
      </x:c>
      <x:c r="B35" s="167" t="n">
        <x:v>386</x:v>
      </x:c>
      <x:c r="C35" s="168" t="n">
        <x:f>B35/$A$6</x:f>
        <x:v>0.21385041551246536</x:v>
      </x:c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5" hidden="0" customHeight="1">
      <x:c r="A36" s="139" t="str">
        <x:v>&gt;=20条教学锚点消息</x:v>
      </x:c>
      <x:c r="B36" s="167" t="n">
        <x:v>136</x:v>
      </x:c>
      <x:c r="C36" s="168" t="n">
        <x:f>B36/$A$6</x:f>
        <x:v>0.07534626038781163</x:v>
      </x:c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hidden="0" customHeight="1">
      <x:c r="A37" s="139" t="str">
        <x:v>&gt;=30条教学锚点消息</x:v>
      </x:c>
      <x:c r="B37" s="167" t="n">
        <x:v>50</x:v>
      </x:c>
      <x:c r="C37" s="168" t="n">
        <x:f>B37/$A$6</x:f>
        <x:v>0.027700831024930747</x:v>
      </x:c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</x:sheetData>
  <x:mergeCells>
    <x:mergeCell ref="A1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9:H9"/>
    <x:mergeCell ref="A18:C18"/>
    <x:mergeCell ref="A31:C31"/>
  </x:mergeCells>
  <x:pageMargins left="0.7" right="0.7" top="0.75" bottom="0.75" header="0.3" footer="0.3"/>
  <x:drawing xmlns:r="http://schemas.openxmlformats.org/officeDocument/2006/relationships" r:id="R1fc02995c7454bf0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38" hidden="0" customWidth="1"/>
    <x:col min="5" max="5" width="30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15" hidden="0" customHeight="1">
      <x:c r="A1" s="4" t="str">
        <x:v>班级群聊分析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</x:row>
    <x:row r="2" ht="15" hidden="0" customHeight="1">
      <x:c r="A2" s="4"/>
      <x:c r="B2" s="4"/>
      <x:c r="C2" s="4"/>
      <x:c r="D2" s="4"/>
      <x:c r="E2" s="4"/>
      <x:c r="F2" s="4"/>
      <x:c r="G2" s="4"/>
      <x:c r="H2" s="4"/>
      <x:c r="I2" s="1"/>
      <x:c r="J2" s="1"/>
      <x:c r="K2" s="1"/>
      <x:c r="L2" s="1"/>
      <x:c r="M2" s="1"/>
      <x:c r="N2" s="1"/>
      <x:c r="O2" s="1"/>
      <x:c r="P2" s="1"/>
      <x:c r="Q2" s="1"/>
    </x:row>
    <x:row r="3" ht="15" hidden="0" customHeight="1">
      <x:c r="A3" s="7" t="str">
        <x:v>班级群包含教学、职业培训、金融、电商、兴趣和社交等多种用途；TeachBuddy 不应无差别启用</x:v>
      </x:c>
      <x:c r="B3" s="7"/>
      <x:c r="C3" s="7"/>
      <x:c r="D3" s="7"/>
      <x:c r="E3" s="7"/>
      <x:c r="F3" s="7"/>
      <x:c r="G3" s="7"/>
      <x:c r="H3" s="7"/>
      <x:c r="I3" s="1"/>
      <x:c r="J3" s="1"/>
      <x:c r="K3" s="1"/>
      <x:c r="L3" s="1"/>
      <x:c r="M3" s="1"/>
      <x:c r="N3" s="1"/>
      <x:c r="O3" s="1"/>
      <x:c r="P3" s="1"/>
      <x:c r="Q3" s="1"/>
    </x:row>
    <x:row r="4" ht="15" hidden="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15" hidden="0" customHeight="1">
      <x:c r="A5" s="13" t="str">
        <x:v>班级群</x:v>
      </x:c>
      <x:c r="B5" s="14"/>
      <x:c r="C5" s="38" t="str">
        <x:v>师生混合互动</x:v>
      </x:c>
      <x:c r="D5" s="39"/>
      <x:c r="E5" s="63" t="str">
        <x:v>学生教学疑问</x:v>
      </x:c>
      <x:c r="F5" s="64"/>
      <x:c r="G5" s="13" t="str">
        <x:v>观察到教师发言</x:v>
      </x:c>
      <x:c r="H5" s="14"/>
      <x:c r="I5" s="1"/>
      <x:c r="J5" s="1"/>
      <x:c r="K5" s="1"/>
      <x:c r="L5" s="1"/>
      <x:c r="M5" s="1"/>
      <x:c r="N5" s="1"/>
      <x:c r="O5" s="1"/>
      <x:c r="P5" s="1"/>
      <x:c r="Q5" s="1"/>
    </x:row>
    <x:row r="6" ht="15" hidden="0" customHeight="1">
      <x:c r="A6" s="28" t="n">
        <x:v>6392</x:v>
      </x:c>
      <x:c r="B6" s="29"/>
      <x:c r="C6" s="53" t="n">
        <x:v>3499</x:v>
      </x:c>
      <x:c r="D6" s="54"/>
      <x:c r="E6" s="78" t="n">
        <x:v>11289</x:v>
      </x:c>
      <x:c r="F6" s="79"/>
      <x:c r="G6" s="162" t="n">
        <x:v>0.588538</x:v>
      </x:c>
      <x:c r="H6" s="163"/>
      <x:c r="I6" s="1"/>
      <x:c r="J6" s="1"/>
      <x:c r="K6" s="1"/>
      <x:c r="L6" s="1"/>
      <x:c r="M6" s="1"/>
      <x:c r="N6" s="1"/>
      <x:c r="O6" s="1"/>
      <x:c r="P6" s="1"/>
      <x:c r="Q6" s="1"/>
    </x:row>
    <x:row r="7" ht="15" hidden="0" customHeight="1">
      <x:c r="A7" s="30"/>
      <x:c r="B7" s="31"/>
      <x:c r="C7" s="55"/>
      <x:c r="D7" s="56"/>
      <x:c r="E7" s="80"/>
      <x:c r="F7" s="81"/>
      <x:c r="G7" s="164"/>
      <x:c r="H7" s="165"/>
      <x:c r="I7" s="1"/>
      <x:c r="J7" s="1"/>
      <x:c r="K7" s="1"/>
      <x:c r="L7" s="1"/>
      <x:c r="M7" s="1"/>
      <x:c r="N7" s="1"/>
      <x:c r="O7" s="1"/>
      <x:c r="P7" s="1"/>
      <x:c r="Q7" s="1"/>
    </x:row>
    <x:row r="8" ht="15" hidden="0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5" hidden="0" customHeight="1">
      <x:c r="A9" s="84" t="str">
        <x:v>角色与群聊形态</x:v>
      </x:c>
      <x:c r="B9" s="84"/>
      <x:c r="C9" s="84"/>
      <x:c r="D9" s="84"/>
      <x:c r="E9" s="84"/>
      <x:c r="F9" s="84"/>
      <x:c r="G9" s="84"/>
      <x:c r="H9" s="84"/>
      <x:c r="I9" s="1"/>
      <x:c r="J9" s="1"/>
      <x:c r="K9" s="1"/>
      <x:c r="L9" s="1"/>
      <x:c r="M9" s="1"/>
      <x:c r="N9" s="1"/>
      <x:c r="O9" s="1"/>
      <x:c r="P9" s="1"/>
      <x:c r="Q9" s="1"/>
    </x:row>
    <x:row r="10" ht="15" hidden="0" customHeight="1">
      <x:c r="A10" s="114" t="str">
        <x:v>角色</x:v>
      </x:c>
      <x:c r="B10" s="114" t="str">
        <x:v>消息数</x:v>
      </x:c>
      <x:c r="C10" s="114" t="str">
        <x:v>占群聊样本</x:v>
      </x:c>
      <x:c r="D10" s="1"/>
      <x:c r="E10" s="114" t="str">
        <x:v>群聊形态</x:v>
      </x:c>
      <x:c r="F10" s="114" t="str">
        <x:v>群数</x:v>
      </x:c>
      <x:c r="G10" s="114" t="str">
        <x:v>占比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5" hidden="0" customHeight="1">
      <x:c r="A11" s="138" t="str">
        <x:v>学生</x:v>
      </x:c>
      <x:c r="B11" s="166" t="n">
        <x:v>410369</x:v>
      </x:c>
      <x:c r="C11" s="175" t="n">
        <x:f>B11/$B$15</x:f>
        <x:v>0.6420040675844806</x:v>
      </x:c>
      <x:c r="D11" s="1"/>
      <x:c r="E11" s="138" t="str">
        <x:v>师生混合互动</x:v>
      </x:c>
      <x:c r="F11" s="166" t="n">
        <x:v>3499</x:v>
      </x:c>
      <x:c r="G11" s="175" t="n">
        <x:f>F11/$F$14</x:f>
        <x:v>0.5474030037546934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5" hidden="0" customHeight="1">
      <x:c r="A12" s="139" t="str">
        <x:v>旁听生</x:v>
      </x:c>
      <x:c r="B12" s="167" t="n">
        <x:v>408</x:v>
      </x:c>
      <x:c r="C12" s="168" t="n">
        <x:f>B12/$B$15</x:f>
        <x:v>0.0006382978723404255</x:v>
      </x:c>
      <x:c r="D12" s="1"/>
      <x:c r="E12" s="139" t="str">
        <x:v>学生交流主导（学生消息≥80%）</x:v>
      </x:c>
      <x:c r="F12" s="167" t="n">
        <x:v>2308</x:v>
      </x:c>
      <x:c r="G12" s="168" t="n">
        <x:f>F12/$F$14</x:f>
        <x:v>0.36107634543178974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5" hidden="0" customHeight="1">
      <x:c r="A13" s="139" t="str">
        <x:v>班主任</x:v>
      </x:c>
      <x:c r="B13" s="167" t="n">
        <x:v>135655</x:v>
      </x:c>
      <x:c r="C13" s="168" t="n">
        <x:f>B13/$B$15</x:f>
        <x:v>0.21222622027534419</x:v>
      </x:c>
      <x:c r="D13" s="1"/>
      <x:c r="E13" s="139" t="str">
        <x:v>教师广播主导（教师消息≥80%）</x:v>
      </x:c>
      <x:c r="F13" s="167" t="n">
        <x:v>585</x:v>
      </x:c>
      <x:c r="G13" s="168" t="n">
        <x:f>F13/$F$14</x:f>
        <x:v>0.0915206508135169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5" hidden="0" customHeight="1">
      <x:c r="A14" s="139" t="str">
        <x:v>教师</x:v>
      </x:c>
      <x:c r="B14" s="167" t="n">
        <x:v>92763</x:v>
      </x:c>
      <x:c r="C14" s="168" t="n">
        <x:f>B14/$B$15</x:f>
        <x:v>0.14512359198998748</x:v>
      </x:c>
      <x:c r="D14" s="1"/>
      <x:c r="E14" s="139" t="str">
        <x:v>合计</x:v>
      </x:c>
      <x:c r="F14" s="167" t="n">
        <x:v>6392</x:v>
      </x:c>
      <x:c r="G14" s="139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5" hidden="0" customHeight="1">
      <x:c r="A15" s="139" t="str">
        <x:v>合计</x:v>
      </x:c>
      <x:c r="B15" s="167" t="n">
        <x:v>639200</x:v>
      </x:c>
      <x:c r="C15" s="139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5" hidden="0" customHeight="1">
      <x:c r="A17" s="84" t="str">
        <x:v>群规模差异</x:v>
      </x:c>
      <x:c r="B17" s="84"/>
      <x:c r="C17" s="84"/>
      <x:c r="D17" s="84"/>
      <x:c r="E17" s="84"/>
      <x:c r="F17" s="84"/>
      <x:c r="G17" s="84"/>
      <x:c r="H17" s="84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5" hidden="0" customHeight="1">
      <x:c r="A18" s="114" t="str">
        <x:v>班级规模</x:v>
      </x:c>
      <x:c r="B18" s="114" t="str">
        <x:v>群数</x:v>
      </x:c>
      <x:c r="C18" s="114" t="str">
        <x:v>消息样本</x:v>
      </x:c>
      <x:c r="D18" s="114" t="str">
        <x:v>去重发言者中位数</x:v>
      </x:c>
      <x:c r="E18" s="114" t="str">
        <x:v>P90</x:v>
      </x:c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5" hidden="0" customHeight="1">
      <x:c r="A19" s="138" t="str">
        <x:v>班级成员 ＜ 30 人</x:v>
      </x:c>
      <x:c r="B19" s="166" t="n">
        <x:v>4917</x:v>
      </x:c>
      <x:c r="C19" s="166" t="n">
        <x:v>491700</x:v>
      </x:c>
      <x:c r="D19" s="166" t="n">
        <x:v>3</x:v>
      </x:c>
      <x:c r="E19" s="166" t="n">
        <x:v>7</x:v>
      </x:c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5" hidden="0" customHeight="1">
      <x:c r="A20" s="139" t="str">
        <x:v>班级成员 30 - 100 人</x:v>
      </x:c>
      <x:c r="B20" s="167" t="n">
        <x:v>1162</x:v>
      </x:c>
      <x:c r="C20" s="167" t="n">
        <x:v>116200</x:v>
      </x:c>
      <x:c r="D20" s="167" t="n">
        <x:v>10</x:v>
      </x:c>
      <x:c r="E20" s="167" t="n">
        <x:v>19</x:v>
      </x:c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5" hidden="0" customHeight="1">
      <x:c r="A21" s="139" t="str">
        <x:v>班级成员 ＞ 100 人</x:v>
      </x:c>
      <x:c r="B21" s="167" t="n">
        <x:v>313</x:v>
      </x:c>
      <x:c r="C21" s="167" t="n">
        <x:v>31300</x:v>
      </x:c>
      <x:c r="D21" s="167" t="n">
        <x:v>15</x:v>
      </x:c>
      <x:c r="E21" s="167" t="n">
        <x:v>33</x:v>
      </x:c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5" hidden="0" customHeight="1">
      <x:c r="A23" s="84" t="str">
        <x:v>高置信教学主题</x:v>
      </x:c>
      <x:c r="B23" s="84"/>
      <x:c r="C23" s="84"/>
      <x:c r="D23" s="84"/>
      <x:c r="E23" s="84"/>
      <x:c r="F23" s="84"/>
      <x:c r="G23" s="84"/>
      <x:c r="H23" s="84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5" hidden="0" customHeight="1">
      <x:c r="A24" s="114" t="str">
        <x:v>主题</x:v>
      </x:c>
      <x:c r="B24" s="114" t="str">
        <x:v>消息数</x:v>
      </x:c>
      <x:c r="C24" s="114" t="str">
        <x:v>占教学锚点</x:v>
      </x:c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5" hidden="0" customHeight="1">
      <x:c r="A25" s="138" t="str">
        <x:v>课程时间与课堂入口</x:v>
      </x:c>
      <x:c r="B25" s="166" t="n">
        <x:v>22106</x:v>
      </x:c>
      <x:c r="C25" s="175" t="n">
        <x:f>B25/$B$34</x:f>
        <x:v>0.3274041380944623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5" hidden="0" customHeight="1">
      <x:c r="A26" s="139" t="str">
        <x:v>知识答疑与讲解</x:v>
      </x:c>
      <x:c r="B26" s="167" t="n">
        <x:v>11182</x:v>
      </x:c>
      <x:c r="C26" s="168" t="n">
        <x:f>B26/$B$34</x:f>
        <x:v>0.16561264236733364</x:v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5" hidden="0" customHeight="1">
      <x:c r="A27" s="139" t="str">
        <x:v>作业提交与订正</x:v>
      </x:c>
      <x:c r="B27" s="167" t="n">
        <x:v>9761</x:v>
      </x:c>
      <x:c r="C27" s="168" t="n">
        <x:f>B27/$B$34</x:f>
        <x:v>0.14456671455442172</x:v>
      </x:c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5" hidden="0" customHeight="1">
      <x:c r="A28" s="139" t="str">
        <x:v>资料文件与回放</x:v>
      </x:c>
      <x:c r="B28" s="167" t="n">
        <x:v>7224</x:v>
      </x:c>
      <x:c r="C28" s="168" t="n">
        <x:f>B28/$B$34</x:f>
        <x:v>0.10699210592573942</x:v>
      </x:c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5" hidden="0" customHeight="1">
      <x:c r="A29" s="139" t="str">
        <x:v>学习计划与进度</x:v>
      </x:c>
      <x:c r="B29" s="167" t="n">
        <x:v>3973</x:v>
      </x:c>
      <x:c r="C29" s="168" t="n">
        <x:f>B29/$B$34</x:f>
        <x:v>0.05884269612997823</x:v>
      </x:c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5" hidden="0" customHeight="1">
      <x:c r="A30" s="139" t="str">
        <x:v>考试测评与成绩</x:v>
      </x:c>
      <x:c r="B30" s="167" t="n">
        <x:v>2684</x:v>
      </x:c>
      <x:c r="C30" s="168" t="n">
        <x:f>B30/$B$34</x:f>
        <x:v>0.0397517735748456</x:v>
      </x:c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5" hidden="0" customHeight="1">
      <x:c r="A31" s="139" t="str">
        <x:v>请假考勤与到课</x:v>
      </x:c>
      <x:c r="B31" s="167" t="n">
        <x:v>2104</x:v>
      </x:c>
      <x:c r="C31" s="168" t="n">
        <x:f>B31/$B$34</x:f>
        <x:v>0.03116159895733053</x:v>
      </x:c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5" hidden="0" customHeight="1">
      <x:c r="A32" s="139" t="str">
        <x:v>反馈激励与情绪</x:v>
      </x:c>
      <x:c r="B32" s="167" t="n">
        <x:v>2098</x:v>
      </x:c>
      <x:c r="C32" s="168" t="n">
        <x:f>B32/$B$34</x:f>
        <x:v>0.031072735081976926</x:v>
      </x:c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15" hidden="0" customHeight="1">
      <x:c r="A33" s="139" t="str">
        <x:v>技术与账号支持</x:v>
      </x:c>
      <x:c r="B33" s="167" t="n">
        <x:v>1392</x:v>
      </x:c>
      <x:c r="C33" s="168" t="n">
        <x:f>B33/$B$34</x:f>
        <x:v>0.020616419082036166</x:v>
      </x:c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15" hidden="0" customHeight="1">
      <x:c r="A34" s="139" t="str">
        <x:v>教学锚点消息（分母）</x:v>
      </x:c>
      <x:c r="B34" s="167" t="n">
        <x:v>67519</x:v>
      </x:c>
      <x:c r="C34" s="139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5" hidden="0" customHeight="1">
      <x:c r="A36" s="84" t="str">
        <x:v>响应代理与解释边界</x:v>
      </x:c>
      <x:c r="B36" s="84"/>
      <x:c r="C36" s="84"/>
      <x:c r="D36" s="84"/>
      <x:c r="E36" s="84"/>
      <x:c r="F36" s="84"/>
      <x:c r="G36" s="84"/>
      <x:c r="H36" s="84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hidden="0" customHeight="1">
      <x:c r="A37" s="114" t="str">
        <x:v>指标</x:v>
      </x:c>
      <x:c r="B37" s="114" t="str">
        <x:v>数值</x:v>
      </x:c>
      <x:c r="C37" s="114" t="str">
        <x:v>比例/时间</x:v>
      </x:c>
      <x:c r="D37" s="114" t="str">
        <x:v>解释</x:v>
      </x:c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hidden="0" customHeight="1">
      <x:c r="A38" s="138" t="str">
        <x:v>学生教学疑问</x:v>
      </x:c>
      <x:c r="B38" s="166" t="n">
        <x:v>11289</x:v>
      </x:c>
      <x:c r="C38" s="138" t="str">
        <x:v>条</x:v>
      </x:c>
      <x:c r="D38" s="138" t="str">
        <x:v>只统计教学锚点疑问</x:v>
      </x:c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hidden="0" customHeight="1">
      <x:c r="A39" s="139" t="str">
        <x:v>24h 内观察到教师发言</x:v>
      </x:c>
      <x:c r="B39" s="167" t="n">
        <x:v>6644</x:v>
      </x:c>
      <x:c r="C39" s="168" t="n">
        <x:f>B39/B38</x:f>
        <x:v>0.5885375143945434</x:v>
      </x:c>
      <x:c r="D39" s="139" t="str">
        <x:v>不等于问题被回答</x:v>
      </x:c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hidden="0" customHeight="1">
      <x:c r="A40" s="139" t="str">
        <x:v>样本内未观察到教师发言</x:v>
      </x:c>
      <x:c r="B40" s="167" t="n">
        <x:v>4645</x:v>
      </x:c>
      <x:c r="C40" s="168" t="n">
        <x:f>B40/B38</x:f>
        <x:v>0.4114624856054566</x:v>
      </x:c>
      <x:c r="D40" s="139" t="str">
        <x:v>可能截断/无需教师/线下处理</x:v>
      </x:c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hidden="0" customHeight="1">
      <x:c r="A41" s="139" t="str">
        <x:v>响应代理中位数</x:v>
      </x:c>
      <x:c r="B41" s="167" t="n">
        <x:v>535</x:v>
      </x:c>
      <x:c r="C41" s="139" t="str">
        <x:v>秒</x:v>
      </x:c>
      <x:c r="D41" s="139" t="str">
        <x:v>约 8.9 分钟</x:v>
      </x:c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</x:sheetData>
  <x:mergeCells>
    <x:mergeCell ref="A1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9:H9"/>
    <x:mergeCell ref="A17:H17"/>
    <x:mergeCell ref="A23:H23"/>
    <x:mergeCell ref="A36:H36"/>
  </x:mergeCells>
  <x:pageMargins left="0.7" right="0.7" top="0.75" bottom="0.75" header="0.3" footer="0.3"/>
  <x:drawing xmlns:r="http://schemas.openxmlformats.org/officeDocument/2006/relationships" r:id="R7cf4b9813e42424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0" hidden="0" customWidth="1"/>
    <x:col min="3" max="3" width="28" hidden="0" customWidth="1"/>
    <x:col min="4" max="4" width="28" hidden="0" customWidth="1"/>
    <x:col min="5" max="5" width="18" hidden="0" customWidth="1"/>
    <x:col min="6" max="6" width="18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</x:cols>
  <x:sheetData>
    <x:row r="1" ht="15" hidden="0" customHeight="1">
      <x:c r="A1" s="4" t="str">
        <x:v>IM × AI Agent 产品机会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</x:row>
    <x:row r="2" ht="15" hidden="0" customHeight="1">
      <x:c r="A2" s="4"/>
      <x:c r="B2" s="4"/>
      <x:c r="C2" s="4"/>
      <x:c r="D2" s="4"/>
      <x:c r="E2" s="4"/>
      <x:c r="F2" s="4"/>
      <x:c r="G2" s="4"/>
      <x:c r="H2" s="4"/>
      <x:c r="I2" s="1"/>
      <x:c r="J2" s="1"/>
      <x:c r="K2" s="1"/>
      <x:c r="L2" s="1"/>
      <x:c r="M2" s="1"/>
      <x:c r="N2" s="1"/>
      <x:c r="O2" s="1"/>
      <x:c r="P2" s="1"/>
      <x:c r="Q2" s="1"/>
    </x:row>
    <x:row r="3" ht="15" hidden="0" customHeight="1">
      <x:c r="A3" s="7" t="str">
        <x:v>同一真实场景分别映射方案一、方案二和方案三；高频不自动等于高优先级</x:v>
      </x:c>
      <x:c r="B3" s="7"/>
      <x:c r="C3" s="7"/>
      <x:c r="D3" s="7"/>
      <x:c r="E3" s="7"/>
      <x:c r="F3" s="7"/>
      <x:c r="G3" s="7"/>
      <x:c r="H3" s="7"/>
      <x:c r="I3" s="1"/>
      <x:c r="J3" s="1"/>
      <x:c r="K3" s="1"/>
      <x:c r="L3" s="1"/>
      <x:c r="M3" s="1"/>
      <x:c r="N3" s="1"/>
      <x:c r="O3" s="1"/>
      <x:c r="P3" s="1"/>
      <x:c r="Q3" s="1"/>
    </x:row>
    <x:row r="4" ht="15" hidden="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15" hidden="0" customHeight="1">
      <x:c r="A5" s="114" t="str">
        <x:v>机会</x:v>
      </x:c>
      <x:c r="B5" s="114" t="str">
        <x:v>主要证据</x:v>
      </x:c>
      <x:c r="C5" s="114" t="str">
        <x:v>用户问题</x:v>
      </x:c>
      <x:c r="D5" s="114" t="str">
        <x:v>AI 最小介入</x:v>
      </x:c>
      <x:c r="E5" s="114" t="str">
        <x:v>方案</x:v>
      </x:c>
      <x:c r="F5" s="114" t="str">
        <x:v>建议优先级</x:v>
      </x:c>
      <x:c r="G5" s="114" t="str">
        <x:v>教师价值</x:v>
      </x:c>
      <x:c r="H5" s="114" t="str">
        <x:v>学生价值</x:v>
      </x:c>
      <x:c r="I5" s="114" t="str">
        <x:v>主要风险</x:v>
      </x:c>
      <x:c r="J5" s="114" t="str">
        <x:v>下一验证</x:v>
      </x:c>
      <x:c r="K5" s="1"/>
      <x:c r="L5" s="1"/>
      <x:c r="M5" s="1"/>
      <x:c r="N5" s="1"/>
      <x:c r="O5" s="1"/>
      <x:c r="P5" s="1"/>
      <x:c r="Q5" s="1"/>
    </x:row>
    <x:row r="6" ht="15" hidden="0" customHeight="1">
      <x:c r="A6" s="124" t="str">
        <x:v>课堂事务自助</x:v>
      </x:c>
      <x:c r="B6" s="124" t="str">
        <x:v>双渠道最高频教学主题</x:v>
      </x:c>
      <x:c r="C6" s="124" t="str">
        <x:v>时间/入口/请假/资料重复询问</x:v>
      </x:c>
      <x:c r="D6" s="124" t="str">
        <x:v>事实查询+快捷回复+受控动作</x:v>
      </x:c>
      <x:c r="E6" s="124" t="str">
        <x:v>方案一</x:v>
      </x:c>
      <x:c r="F6" s="140" t="str">
        <x:v>P0</x:v>
      </x:c>
      <x:c r="G6" s="124" t="str">
        <x:v>减少重复回复</x:v>
      </x:c>
      <x:c r="H6" s="124" t="str">
        <x:v>更快获得准确信息</x:v>
      </x:c>
      <x:c r="I6" s="124" t="str">
        <x:v>事实过期、权限</x:v>
      </x:c>
      <x:c r="J6" s="124" t="str">
        <x:v>任务可用性测试</x:v>
      </x:c>
      <x:c r="K6" s="1"/>
      <x:c r="L6" s="1"/>
      <x:c r="M6" s="1"/>
      <x:c r="N6" s="1"/>
      <x:c r="O6" s="1"/>
      <x:c r="P6" s="1"/>
      <x:c r="Q6" s="1"/>
    </x:row>
    <x:row r="7" ht="15" hidden="0" customHeight="1">
      <x:c r="A7" s="127" t="str">
        <x:v>教师教学沟通雷达</x:v>
      </x:c>
      <x:c r="B7" s="127" t="str">
        <x:v>群聊 11,289 条学生教学疑问</x:v>
      </x:c>
      <x:c r="C7" s="127" t="str">
        <x:v>问题可能被淹没或难分流</x:v>
      </x:c>
      <x:c r="D7" s="127" t="str">
        <x:v>私密发现+聚类+来源证据</x:v>
      </x:c>
      <x:c r="E7" s="127" t="str">
        <x:v>方案三 3A</x:v>
      </x:c>
      <x:c r="F7" s="141" t="str">
        <x:v>P0</x:v>
      </x:c>
      <x:c r="G7" s="127" t="str">
        <x:v>更快发现重点</x:v>
      </x:c>
      <x:c r="H7" s="127" t="str">
        <x:v>问题更容易被看见</x:v>
      </x:c>
      <x:c r="I7" s="127" t="str">
        <x:v>误判、监控感</x:v>
      </x:c>
      <x:c r="J7" s="127" t="str">
        <x:v>50+50 Episode 人工复核</x:v>
      </x:c>
      <x:c r="K7" s="1"/>
      <x:c r="L7" s="1"/>
      <x:c r="M7" s="1"/>
      <x:c r="N7" s="1"/>
      <x:c r="O7" s="1"/>
      <x:c r="P7" s="1"/>
      <x:c r="Q7" s="1"/>
    </x:row>
    <x:row r="8" ht="15" hidden="0" customHeight="1">
      <x:c r="A8" s="127" t="str">
        <x:v>Conversation-to-Learning Case</x:v>
      </x:c>
      <x:c r="B8" s="127" t="str">
        <x:v>群聊知识/作业命中 20,943 次</x:v>
      </x:c>
      <x:c r="C8" s="127" t="str">
        <x:v>一次回复不足以持续跟进</x:v>
      </x:c>
      <x:c r="D8" s="127" t="str">
        <x:v>建立 Owner/状态/下一步/证据</x:v>
      </x:c>
      <x:c r="E8" s="127" t="str">
        <x:v>方案三 3C</x:v>
      </x:c>
      <x:c r="F8" s="141" t="str">
        <x:v>P1</x:v>
      </x:c>
      <x:c r="G8" s="127" t="str">
        <x:v>降低跟进遗漏</x:v>
      </x:c>
      <x:c r="H8" s="127" t="str">
        <x:v>问题有结果和复查</x:v>
      </x:c>
      <x:c r="I8" s="127" t="str">
        <x:v>过度工单化</x:v>
      </x:c>
      <x:c r="J8" s="127" t="str">
        <x:v>低保真 Case 原型</x:v>
      </x:c>
      <x:c r="K8" s="1"/>
      <x:c r="L8" s="1"/>
      <x:c r="M8" s="1"/>
      <x:c r="N8" s="1"/>
      <x:c r="O8" s="1"/>
      <x:c r="P8" s="1"/>
      <x:c r="Q8" s="1"/>
    </x:row>
    <x:row r="9" ht="15" hidden="0" customHeight="1">
      <x:c r="A9" s="127" t="str">
        <x:v>Learning Loop</x:v>
      </x:c>
      <x:c r="B9" s="127" t="str">
        <x:v>知识/作业/计划/反馈形成连续过程</x:v>
      </x:c>
      <x:c r="C9" s="127" t="str">
        <x:v>聊天不能表达目标和结果</x:v>
      </x:c>
      <x:c r="D9" s="127" t="str">
        <x:v>目标→活动→证据→收口</x:v>
      </x:c>
      <x:c r="E9" s="127" t="str">
        <x:v>方案二</x:v>
      </x:c>
      <x:c r="F9" s="141" t="str">
        <x:v>P1</x:v>
      </x:c>
      <x:c r="G9" s="127" t="str">
        <x:v>提高教学闭环质量</x:v>
      </x:c>
      <x:c r="H9" s="127" t="str">
        <x:v>获得参与和理解证据</x:v>
      </x:c>
      <x:c r="I9" s="127" t="str">
        <x:v>结构过重</x:v>
      </x:c>
      <x:c r="J9" s="127" t="str">
        <x:v>同题独立概念原型</x:v>
      </x:c>
      <x:c r="K9" s="1"/>
      <x:c r="L9" s="1"/>
      <x:c r="M9" s="1"/>
      <x:c r="N9" s="1"/>
      <x:c r="O9" s="1"/>
      <x:c r="P9" s="1"/>
      <x:c r="Q9" s="1"/>
    </x:row>
    <x:row r="10" ht="15" hidden="0" customHeight="1">
      <x:c r="A10" s="127" t="str">
        <x:v>1v1 回复副驾驶</x:v>
      </x:c>
      <x:c r="B10" s="127" t="str">
        <x:v>中位 8 字，13.8% 疑问</x:v>
      </x:c>
      <x:c r="C10" s="127" t="str">
        <x:v>上下文碎片化、措辞成本</x:v>
      </x:c>
      <x:c r="D10" s="127" t="str">
        <x:v>补上下文+回复草稿</x:v>
      </x:c>
      <x:c r="E10" s="127" t="str">
        <x:v>方案一</x:v>
      </x:c>
      <x:c r="F10" s="141" t="str">
        <x:v>P1</x:v>
      </x:c>
      <x:c r="G10" s="127" t="str">
        <x:v>提高个别反馈效率</x:v>
      </x:c>
      <x:c r="H10" s="127" t="str">
        <x:v>更及时的帮助</x:v>
      </x:c>
      <x:c r="I10" s="127" t="str">
        <x:v>角色缺失、隐私</x:v>
      </x:c>
      <x:c r="J10" s="127" t="str">
        <x:v>补角色映射</x:v>
      </x:c>
      <x:c r="K10" s="1"/>
      <x:c r="L10" s="1"/>
      <x:c r="M10" s="1"/>
      <x:c r="N10" s="1"/>
      <x:c r="O10" s="1"/>
      <x:c r="P10" s="1"/>
      <x:c r="Q10" s="1"/>
    </x:row>
    <x:row r="11" ht="15" hidden="0" customHeight="1">
      <x:c r="A11" s="127" t="str">
        <x:v>班级 Agent Session</x:v>
      </x:c>
      <x:c r="B11" s="127" t="str">
        <x:v>90.8% 群非教师广播主导</x:v>
      </x:c>
      <x:c r="C11" s="127" t="str">
        <x:v>讨论参与不均、难收口</x:v>
      </x:c>
      <x:c r="D11" s="127" t="str">
        <x:v>限定目标/时长的公开促进</x:v>
      </x:c>
      <x:c r="E11" s="127" t="str">
        <x:v>方案三 3B</x:v>
      </x:c>
      <x:c r="F11" s="141" t="str">
        <x:v>P2</x:v>
      </x:c>
      <x:c r="G11" s="127" t="str">
        <x:v>降低主持负担</x:v>
      </x:c>
      <x:c r="H11" s="127" t="str">
        <x:v>提高参与与反馈</x:v>
      </x:c>
      <x:c r="I11" s="127" t="str">
        <x:v>抢话、错误扩散</x:v>
      </x:c>
      <x:c r="J11" s="127" t="str">
        <x:v>信任建立后实验</x:v>
      </x:c>
      <x:c r="K11" s="1"/>
      <x:c r="L11" s="1"/>
      <x:c r="M11" s="1"/>
      <x:c r="N11" s="1"/>
      <x:c r="O11" s="1"/>
      <x:c r="P11" s="1"/>
      <x:c r="Q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</x:sheetData>
  <x:mergeCells>
    <x:mergeCell ref="A1:H2"/>
    <x:mergeCell ref="A3:H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6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15" hidden="0" customHeight="1">
      <x:c r="A1" s="4" t="str">
        <x:v>方法、隐私与解释边界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</x:row>
    <x:row r="2" ht="15" hidden="0" customHeight="1">
      <x:c r="A2" s="4"/>
      <x:c r="B2" s="4"/>
      <x:c r="C2" s="4"/>
      <x:c r="D2" s="4"/>
      <x:c r="E2" s="4"/>
      <x:c r="F2" s="4"/>
      <x:c r="G2" s="4"/>
      <x:c r="H2" s="4"/>
      <x:c r="I2" s="1"/>
      <x:c r="J2" s="1"/>
      <x:c r="K2" s="1"/>
      <x:c r="L2" s="1"/>
      <x:c r="M2" s="1"/>
      <x:c r="N2" s="1"/>
      <x:c r="O2" s="1"/>
      <x:c r="P2" s="1"/>
      <x:c r="Q2" s="1"/>
    </x:row>
    <x:row r="3" ht="15" hidden="0" customHeight="1">
      <x:c r="A3" s="7" t="str">
        <x:v>本工作簿只含匿名聚合数据；原始消息、用户 ID、群 ID、昵称和目标 ID均未导出</x:v>
      </x:c>
      <x:c r="B3" s="7"/>
      <x:c r="C3" s="7"/>
      <x:c r="D3" s="7"/>
      <x:c r="E3" s="7"/>
      <x:c r="F3" s="7"/>
      <x:c r="G3" s="7"/>
      <x:c r="H3" s="7"/>
      <x:c r="I3" s="1"/>
      <x:c r="J3" s="1"/>
      <x:c r="K3" s="1"/>
      <x:c r="L3" s="1"/>
      <x:c r="M3" s="1"/>
      <x:c r="N3" s="1"/>
      <x:c r="O3" s="1"/>
      <x:c r="P3" s="1"/>
      <x:c r="Q3" s="1"/>
    </x:row>
    <x:row r="4" ht="15" hidden="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15" hidden="0" customHeight="1">
      <x:c r="A5" s="84" t="str">
        <x:v>抽样结构</x:v>
      </x:c>
      <x:c r="B5" s="84"/>
      <x:c r="C5" s="84"/>
      <x:c r="D5" s="84"/>
      <x:c r="E5" s="84"/>
      <x:c r="F5" s="84"/>
      <x:c r="G5" s="84"/>
      <x:c r="H5" s="84"/>
      <x:c r="I5" s="1"/>
      <x:c r="J5" s="1"/>
      <x:c r="K5" s="1"/>
      <x:c r="L5" s="1"/>
      <x:c r="M5" s="1"/>
      <x:c r="N5" s="1"/>
      <x:c r="O5" s="1"/>
      <x:c r="P5" s="1"/>
      <x:c r="Q5" s="1"/>
    </x:row>
    <x:row r="6" ht="15" hidden="0" customHeight="1">
      <x:c r="A6" s="114" t="str">
        <x:v>检查项</x:v>
      </x:c>
      <x:c r="B6" s="114" t="str">
        <x:v>结果</x:v>
      </x:c>
      <x:c r="C6" s="114" t="str">
        <x:v>含义</x:v>
      </x:c>
      <x:c r="D6" s="114" t="str">
        <x:v>可做</x:v>
      </x:c>
      <x:c r="E6" s="114" t="str">
        <x:v>不可做</x:v>
      </x:c>
      <x:c r="F6" s="114" t="str">
        <x:v>风险</x:v>
      </x:c>
      <x:c r="G6" s="114" t="str">
        <x:v>缓解</x:v>
      </x:c>
      <x:c r="H6" s="114" t="str">
        <x:v>状态</x:v>
      </x:c>
      <x:c r="I6" s="1"/>
      <x:c r="J6" s="1"/>
      <x:c r="K6" s="1"/>
      <x:c r="L6" s="1"/>
      <x:c r="M6" s="1"/>
      <x:c r="N6" s="1"/>
      <x:c r="O6" s="1"/>
      <x:c r="P6" s="1"/>
      <x:c r="Q6" s="1"/>
    </x:row>
    <x:row r="7" ht="15" hidden="0" customHeight="1">
      <x:c r="A7" s="124" t="str">
        <x:v>会话数</x:v>
      </x:c>
      <x:c r="B7" s="124" t="n">
        <x:v>8197</x:v>
      </x:c>
      <x:c r="C7" s="124" t="str">
        <x:v>每会话固定 100 条</x:v>
      </x:c>
      <x:c r="D7" s="124" t="str">
        <x:v>内容结构比较</x:v>
      </x:c>
      <x:c r="E7" s="124" t="str">
        <x:v>全站消息量</x:v>
      </x:c>
      <x:c r="F7" s="124" t="str">
        <x:v>等权抽样偏差</x:v>
      </x:c>
      <x:c r="G7" s="124" t="str">
        <x:v>补 total_message_count</x:v>
      </x:c>
      <x:c r="H7" s="124" t="str">
        <x:v>已确认</x:v>
      </x:c>
      <x:c r="I7" s="1"/>
      <x:c r="J7" s="1"/>
      <x:c r="K7" s="1"/>
      <x:c r="L7" s="1"/>
      <x:c r="M7" s="1"/>
      <x:c r="N7" s="1"/>
      <x:c r="O7" s="1"/>
      <x:c r="P7" s="1"/>
      <x:c r="Q7" s="1"/>
    </x:row>
    <x:row r="8" ht="15" hidden="0" customHeight="1">
      <x:c r="A8" s="127" t="str">
        <x:v>rn</x:v>
      </x:c>
      <x:c r="B8" s="127" t="str">
        <x:v>1–100 全覆盖</x:v>
      </x:c>
      <x:c r="C8" s="127" t="str">
        <x:v>全部会话按时间递增</x:v>
      </x:c>
      <x:c r="D8" s="127" t="str">
        <x:v>Episode 分析</x:v>
      </x:c>
      <x:c r="E8" s="127" t="str">
        <x:v>完整月会话</x:v>
      </x:c>
      <x:c r="F8" s="127" t="str">
        <x:v>右删失</x:v>
      </x:c>
      <x:c r="G8" s="127" t="str">
        <x:v>补不封顶聚合</x:v>
      </x:c>
      <x:c r="H8" s="127" t="str">
        <x:v>已确认</x:v>
      </x:c>
      <x:c r="I8" s="1"/>
      <x:c r="J8" s="1"/>
      <x:c r="K8" s="1"/>
      <x:c r="L8" s="1"/>
      <x:c r="M8" s="1"/>
      <x:c r="N8" s="1"/>
      <x:c r="O8" s="1"/>
      <x:c r="P8" s="1"/>
      <x:c r="Q8" s="1"/>
    </x:row>
    <x:row r="9" ht="15" hidden="0" customHeight="1">
      <x:c r="A9" s="127" t="str">
        <x:v>单聊角色</x:v>
      </x:c>
      <x:c r="B9" s="127" t="str">
        <x:v>全部为其他</x:v>
      </x:c>
      <x:c r="C9" s="127" t="str">
        <x:v>无法拆师生/学生间</x:v>
      </x:c>
      <x:c r="D9" s="127" t="str">
        <x:v>分析 1v1 整体</x:v>
      </x:c>
      <x:c r="E9" s="127" t="str">
        <x:v>声称师生单聊事实</x:v>
      </x:c>
      <x:c r="F9" s="127" t="str">
        <x:v>角色误判</x:v>
      </x:c>
      <x:c r="G9" s="127" t="str">
        <x:v>补匿名角色映射</x:v>
      </x:c>
      <x:c r="H9" s="127" t="str">
        <x:v>阻塞</x:v>
      </x:c>
      <x:c r="I9" s="1"/>
      <x:c r="J9" s="1"/>
      <x:c r="K9" s="1"/>
      <x:c r="L9" s="1"/>
      <x:c r="M9" s="1"/>
      <x:c r="N9" s="1"/>
      <x:c r="O9" s="1"/>
      <x:c r="P9" s="1"/>
      <x:c r="Q9" s="1"/>
    </x:row>
    <x:row r="10" ht="15" hidden="0" customHeight="1">
      <x:c r="A10" s="127" t="str">
        <x:v>群用途</x:v>
      </x:c>
      <x:c r="B10" s="127" t="str">
        <x:v>教学与非教学并存</x:v>
      </x:c>
      <x:c r="C10" s="127" t="str">
        <x:v>班级不是教学标签</x:v>
      </x:c>
      <x:c r="D10" s="127" t="str">
        <x:v>教学锚点灵敏度</x:v>
      </x:c>
      <x:c r="E10" s="127" t="str">
        <x:v>无差别启用 TeachBuddy</x:v>
      </x:c>
      <x:c r="F10" s="127" t="str">
        <x:v>误触发</x:v>
      </x:c>
      <x:c r="G10" s="127" t="str">
        <x:v>补业务元数据</x:v>
      </x:c>
      <x:c r="H10" s="127" t="str">
        <x:v>已确认</x:v>
      </x:c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5" hidden="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5" hidden="0" customHeight="1">
      <x:c r="A12" s="84" t="str">
        <x:v>指标解释</x:v>
      </x:c>
      <x:c r="B12" s="84"/>
      <x:c r="C12" s="84"/>
      <x:c r="D12" s="84"/>
      <x:c r="E12" s="84"/>
      <x:c r="F12" s="84"/>
      <x:c r="G12" s="84"/>
      <x:c r="H12" s="84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5" hidden="0" customHeight="1">
      <x:c r="A13" s="114" t="str">
        <x:v>指标</x:v>
      </x:c>
      <x:c r="B13" s="114" t="str">
        <x:v>定义</x:v>
      </x:c>
      <x:c r="C13" s="114" t="str">
        <x:v>用途</x:v>
      </x:c>
      <x:c r="D13" s="114" t="str">
        <x:v>边界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5" hidden="0" customHeight="1">
      <x:c r="A14" s="124" t="str">
        <x:v>教学锚点</x:v>
      </x:c>
      <x:c r="B14" s="124" t="str">
        <x:v>高精度教学词汇命中</x:v>
      </x:c>
      <x:c r="C14" s="124" t="str">
        <x:v>观察教学相关度下限</x:v>
      </x:c>
      <x:c r="D14" s="124" t="str">
        <x:v>不是正式业务分类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5" hidden="0" customHeight="1">
      <x:c r="A15" s="127" t="str">
        <x:v>主题命中</x:v>
      </x:c>
      <x:c r="B15" s="127" t="str">
        <x:v>规则型多标签</x:v>
      </x:c>
      <x:c r="C15" s="127" t="str">
        <x:v>初筛和排序</x:v>
      </x:c>
      <x:c r="D15" s="127" t="str">
        <x:v>需人工 Episode 复核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5" hidden="0" customHeight="1">
      <x:c r="A16" s="127" t="str">
        <x:v>Conversation Episode</x:v>
      </x:c>
      <x:c r="B16" s="127" t="str">
        <x:v>相邻消息间隔&gt;30分钟切分</x:v>
      </x:c>
      <x:c r="C16" s="127" t="str">
        <x:v>观察连续沟通片段</x:v>
      </x:c>
      <x:c r="D16" s="127" t="str">
        <x:v>阈值敏感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5" hidden="0" customHeight="1">
      <x:c r="A17" s="127" t="str">
        <x:v>响应代理</x:v>
      </x:c>
      <x:c r="B17" s="127" t="str">
        <x:v>问题后 24h 内不同角色/用户发言</x:v>
      </x:c>
      <x:c r="C17" s="127" t="str">
        <x:v>发现注意力机会</x:v>
      </x:c>
      <x:c r="D17" s="127" t="str">
        <x:v>不等于回答或解决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5" hidden="0" customHeight="1">
      <x:c r="A18" s="127" t="str">
        <x:v>群聊形态</x:v>
      </x:c>
      <x:c r="B18" s="127" t="str">
        <x:v>按 100 条样本中角色消息占比</x:v>
      </x:c>
      <x:c r="C18" s="127" t="str">
        <x:v>区分广播/学生/混合</x:v>
      </x:c>
      <x:c r="D18" s="127" t="str">
        <x:v>不代表完整月结构</x:v>
      </x:c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5" hidden="0" customHeight="1">
      <x:c r="A19" s="127" t="str">
        <x:v>非教学强信号</x:v>
      </x:c>
      <x:c r="B19" s="127" t="str">
        <x:v>金融/电商/泛娱乐高精度词汇</x:v>
      </x:c>
      <x:c r="C19" s="127" t="str">
        <x:v>能力启用边界</x:v>
      </x:c>
      <x:c r="D19" s="127" t="str">
        <x:v>不穷尽所有垂类</x:v>
      </x:c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4" hidden="0" customHeight="1">
      <x:c r="A20" s="127" t="str">
        <x:v>replymsgid</x:v>
      </x:c>
      <x:c r="B20" s="127" t="str">
        <x:v>协议字段非空约 70,005 行</x:v>
      </x:c>
      <x:c r="C20" s="127" t="str">
        <x:v>待工程解释</x:v>
      </x:c>
      <x:c r="D20" s="127" t="str">
        <x:v>不推翻 1.0 无可见 Reply 的用户事实</x:v>
      </x:c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5" hidden="0" customHeight="1">
      <x:c r="A22" s="84" t="str">
        <x:v>数据补充优先级</x:v>
      </x:c>
      <x:c r="B22" s="84"/>
      <x:c r="C22" s="84"/>
      <x:c r="D22" s="84"/>
      <x:c r="E22" s="84"/>
      <x:c r="F22" s="84"/>
      <x:c r="G22" s="84"/>
      <x:c r="H22" s="84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5" hidden="0" customHeight="1">
      <x:c r="A23" s="114" t="str">
        <x:v>优先级</x:v>
      </x:c>
      <x:c r="B23" s="114" t="str">
        <x:v>缺失数据</x:v>
      </x:c>
      <x:c r="C23" s="114" t="str">
        <x:v>最小字段</x:v>
      </x:c>
      <x:c r="D23" s="114" t="str">
        <x:v>解锁分析</x:v>
      </x:c>
      <x:c r="E23" s="114" t="str">
        <x:v>隐私要求</x:v>
      </x:c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5" hidden="0" customHeight="1">
      <x:c r="A24" s="124" t="str">
        <x:v>P0</x:v>
      </x:c>
      <x:c r="B24" s="124" t="str">
        <x:v>1v1 角色映射</x:v>
      </x:c>
      <x:c r="C24" s="124" t="str">
        <x:v>匿名 user id + role</x:v>
      </x:c>
      <x:c r="D24" s="124" t="str">
        <x:v>师生/学生间单聊拆分</x:v>
      </x:c>
      <x:c r="E24" s="124" t="str">
        <x:v>不需要姓名</x:v>
      </x:c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5" hidden="0" customHeight="1">
      <x:c r="A25" s="127" t="str">
        <x:v>P0</x:v>
      </x:c>
      <x:c r="B25" s="127" t="str">
        <x:v>会话真实消息总量</x:v>
      </x:c>
      <x:c r="C25" s="127" t="str">
        <x:v>cluster id + total count</x:v>
      </x:c>
      <x:c r="D25" s="127" t="str">
        <x:v>恢复自然权重和截断程度</x:v>
      </x:c>
      <x:c r="E25" s="127" t="str">
        <x:v>匿名 cluster id</x:v>
      </x:c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5" hidden="0" customHeight="1">
      <x:c r="A26" s="127" t="str">
        <x:v>P1</x:v>
      </x:c>
      <x:c r="B26" s="127" t="str">
        <x:v>班级业务元数据</x:v>
      </x:c>
      <x:c r="C26" s="127" t="str">
        <x:v>用途/学科/学段/状态</x:v>
      </x:c>
      <x:c r="D26" s="127" t="str">
        <x:v>教学班过滤与场景差异</x:v>
      </x:c>
      <x:c r="E26" s="127" t="str">
        <x:v>只保留必要粒度</x:v>
      </x:c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5" hidden="0" customHeight="1">
      <x:c r="A27" s="127" t="str">
        <x:v>P1</x:v>
      </x:c>
      <x:c r="B27" s="127" t="str">
        <x:v>结果事件</x:v>
      </x:c>
      <x:c r="C27" s="127" t="str">
        <x:v>已读/打开/提交/订正/解决</x:v>
      </x:c>
      <x:c r="D27" s="127" t="str">
        <x:v>从聊天频率走向学习效果</x:v>
      </x:c>
      <x:c r="E27" s="127" t="str">
        <x:v>来源、权限、有效期</x:v>
      </x:c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</x:sheetData>
  <x:mergeCells>
    <x:mergeCell ref="A1:H2"/>
    <x:mergeCell ref="A3:H3"/>
    <x:mergeCell ref="A5:H5"/>
    <x:mergeCell ref="A12:H12"/>
    <x:mergeCell ref="A22:H22"/>
  </x:mergeCells>
  <x:pageMargins left="0.7" right="0.7" top="0.75" bottom="0.75" header="0.3" footer="0.3"/>
</x:worksheet>
</file>